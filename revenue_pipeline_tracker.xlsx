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Weekly Metrics" sheetId="2" state="visible" r:id="rId2"/>
    <sheet xmlns:r="http://schemas.openxmlformats.org/officeDocument/2006/relationships"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"/>
    <numFmt numFmtId="167" formatCode="0.0"/>
    <numFmt numFmtId="168" formatCode="yyyy-mm-dd h:mm:ss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595959"/>
      <sz val="9"/>
    </font>
    <font>
      <name val="Segoe UI"/>
      <b val="1"/>
      <color rgb="001F4E78"/>
      <sz val="20"/>
    </font>
    <font>
      <name val="Segoe UI"/>
      <b val="1"/>
      <color rgb="002B3E50"/>
      <sz val="12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BF1F5"/>
        <bgColor rgb="00EBF1F5"/>
      </patternFill>
    </fill>
    <fill>
      <patternFill patternType="solid">
        <fgColor rgb="002B3E50"/>
        <bgColor rgb="002B3E50"/>
      </patternFill>
    </fill>
    <fill>
      <patternFill patternType="solid">
        <fgColor rgb="00F2F6F9"/>
        <bgColor rgb="00F2F6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right" vertical="center"/>
    </xf>
    <xf numFmtId="0" fontId="7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7" fillId="5" borderId="1" pivotButton="0" quotePrefix="0" xfId="0"/>
    <xf numFmtId="3" fontId="8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right" vertical="center"/>
    </xf>
    <xf numFmtId="165" fontId="8" fillId="6" borderId="2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167" fontId="8" fillId="6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Marketing &amp; Sales Funnel Trends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Metrics'!B4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Metrics'!$A$5:$A$17</f>
            </numRef>
          </cat>
          <val>
            <numRef>
              <f>'Weekly Metrics'!$B$5:$B$17</f>
            </numRef>
          </val>
        </ser>
        <ser>
          <idx val="1"/>
          <order val="1"/>
          <tx>
            <strRef>
              <f>'Weekly Metrics'!C4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Metrics'!$A$5:$A$17</f>
            </numRef>
          </cat>
          <val>
            <numRef>
              <f>'Weekly Metrics'!$C$5:$C$17</f>
            </numRef>
          </val>
        </ser>
        <ser>
          <idx val="2"/>
          <order val="2"/>
          <tx>
            <strRef>
              <f>'Weekly Metrics'!D4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Metrics'!$A$5:$A$17</f>
            </numRef>
          </cat>
          <val>
            <numRef>
              <f>'Weekly Metrics'!$D$5:$D$17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Start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New MRR Added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Metrics'!G4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Metrics'!$A$5:$A$17</f>
            </numRef>
          </cat>
          <val>
            <numRef>
              <f>'Weekly Metrics'!$G$5:$G$17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Start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MRR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30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 xml:space="preserve"> B2B SaaS Revenue Pipeline Dashboard (12-Week RevOps Summary)</t>
        </is>
      </c>
    </row>
    <row r="2"/>
    <row r="3"/>
    <row r="4">
      <c r="A4" s="2" t="inlineStr">
        <is>
          <t>TOTAL LEADS</t>
        </is>
      </c>
      <c r="B4" s="3" t="n"/>
      <c r="C4" s="2" t="inlineStr">
        <is>
          <t>TOTAL CONVERSIONS</t>
        </is>
      </c>
      <c r="D4" s="3" t="n"/>
      <c r="E4" s="2" t="inlineStr">
        <is>
          <t>NEW MRR ADDED</t>
        </is>
      </c>
      <c r="F4" s="3" t="n"/>
      <c r="G4" s="2" t="inlineStr">
        <is>
          <t>FUNNEL CONVERSION</t>
        </is>
      </c>
      <c r="H4" s="3" t="n"/>
    </row>
    <row r="5">
      <c r="A5" s="4">
        <f>SUM('Weekly Metrics'!B6:B18)</f>
        <v/>
      </c>
      <c r="B5" s="3" t="n"/>
      <c r="C5" s="4">
        <f>SUM('Weekly Metrics'!D6:D18)</f>
        <v/>
      </c>
      <c r="D5" s="3" t="n"/>
      <c r="E5" s="5">
        <f>SUM('Weekly Metrics'!G6:G18)</f>
        <v/>
      </c>
      <c r="F5" s="3" t="n"/>
      <c r="G5" s="6">
        <f>E5/A5</f>
        <v/>
      </c>
      <c r="H5" s="3" t="n"/>
    </row>
    <row r="6"/>
    <row r="7">
      <c r="A7" s="7" t="inlineStr">
        <is>
          <t>Key Performance Trends</t>
        </is>
      </c>
    </row>
    <row r="8">
      <c r="A8" s="8" t="inlineStr">
        <is>
          <t>This tracker maps a simulated B2B SaaS funnel showing marketing drop-offs, onboarding speed, and MRR contribution.</t>
        </is>
      </c>
    </row>
    <row r="9"/>
    <row r="10">
      <c r="A10" s="7" t="inlineStr">
        <is>
          <t>RevOps ETL Data Audit Report</t>
        </is>
      </c>
    </row>
    <row r="11">
      <c r="A11" s="9" t="inlineStr">
        <is>
          <t>Metric</t>
        </is>
      </c>
      <c r="B11" s="10" t="inlineStr">
        <is>
          <t>Count</t>
        </is>
      </c>
    </row>
    <row r="12">
      <c r="A12" s="11" t="inlineStr">
        <is>
          <t>Raw CRM Records Scanned</t>
        </is>
      </c>
      <c r="B12" s="12" t="n">
        <v>565</v>
      </c>
    </row>
    <row r="13">
      <c r="A13" s="11" t="inlineStr">
        <is>
          <t>Duplicate Leads Removed</t>
        </is>
      </c>
      <c r="B13" s="12" t="n">
        <v>15</v>
      </c>
    </row>
    <row r="14">
      <c r="A14" s="11" t="inlineStr">
        <is>
          <t>Missing Contact Emails Fixed</t>
        </is>
      </c>
      <c r="B14" s="12" t="n">
        <v>22</v>
      </c>
    </row>
    <row r="15">
      <c r="A15" s="11" t="inlineStr">
        <is>
          <t>Lead Source Casing Normalized</t>
        </is>
      </c>
      <c r="B15" s="12" t="n">
        <v>348</v>
      </c>
    </row>
    <row r="16">
      <c r="A16" s="11" t="inlineStr">
        <is>
          <t>Out-of-Order Dates Corrected</t>
        </is>
      </c>
      <c r="B16" s="12" t="n">
        <v>5</v>
      </c>
    </row>
    <row r="17">
      <c r="A17" s="11" t="inlineStr">
        <is>
          <t>MRR Valuation Anomalies Cleaned</t>
        </is>
      </c>
      <c r="B17" s="12" t="n">
        <v>3</v>
      </c>
    </row>
    <row r="18">
      <c r="A18" s="13" t="inlineStr">
        <is>
          <t>Final Cleaned CRM Records</t>
        </is>
      </c>
      <c r="B18" s="14" t="n">
        <v>550</v>
      </c>
    </row>
  </sheetData>
  <mergeCells count="10">
    <mergeCell ref="A4:B4"/>
    <mergeCell ref="G4:H4"/>
    <mergeCell ref="E4:F4"/>
    <mergeCell ref="C5:D5"/>
    <mergeCell ref="A5:B5"/>
    <mergeCell ref="G5:H5"/>
    <mergeCell ref="E5:F5"/>
    <mergeCell ref="A1:H2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20" customWidth="1" min="3" max="3"/>
    <col width="28" customWidth="1" min="4" max="4"/>
    <col width="22" customWidth="1" min="5" max="5"/>
    <col width="28" customWidth="1" min="6" max="6"/>
    <col width="20" customWidth="1" min="7" max="7"/>
    <col width="29" customWidth="1" min="8" max="8"/>
  </cols>
  <sheetData>
    <row r="1">
      <c r="A1" s="1" t="inlineStr">
        <is>
          <t xml:space="preserve"> Weekly Funnel &amp; Revenue Tracking Table</t>
        </is>
      </c>
    </row>
    <row r="2"/>
    <row r="3"/>
    <row r="4">
      <c r="A4" s="15" t="inlineStr">
        <is>
          <t>Week Start Date</t>
        </is>
      </c>
      <c r="B4" s="15" t="inlineStr">
        <is>
          <t>Leads Generated</t>
        </is>
      </c>
      <c r="C4" s="15" t="inlineStr">
        <is>
          <t>Trials Activated</t>
        </is>
      </c>
      <c r="D4" s="15" t="inlineStr">
        <is>
          <t>Conversions (Closed Won)</t>
        </is>
      </c>
      <c r="E4" s="15" t="inlineStr">
        <is>
          <t>Lead-to-Trial Rate</t>
        </is>
      </c>
      <c r="F4" s="15" t="inlineStr">
        <is>
          <t>Trial-to-Conversion Rate</t>
        </is>
      </c>
      <c r="G4" s="15" t="inlineStr">
        <is>
          <t>Weekly MRR Added</t>
        </is>
      </c>
      <c r="H4" s="15" t="inlineStr">
        <is>
          <t>Avg Velocity (Lead-&gt;Conv)</t>
        </is>
      </c>
    </row>
    <row r="5">
      <c r="A5" s="16" t="n">
        <v>46082</v>
      </c>
      <c r="B5" s="17">
        <f>COUNTIFS('Cleaned Data'!$B$2:$B$600, "&gt;=" &amp; A5, 'Cleaned Data'!$B$2:$B$600, "&lt;" &amp; (A5 + 7))</f>
        <v/>
      </c>
      <c r="C5" s="17">
        <f>COUNTIFS('Cleaned Data'!$H$2:$H$600, "&gt;=" &amp; A5, 'Cleaned Data'!$H$2:$H$600, "&lt;" &amp; (A5 + 7), 'Cleaned Data'!$G$2:$G$600, "Yes")</f>
        <v/>
      </c>
      <c r="D5" s="17">
        <f>COUNTIFS('Cleaned Data'!$J$2:$J$600, "&gt;=" &amp; A5, 'Cleaned Data'!$J$2:$J$600, "&lt;" &amp; (A5 + 7), 'Cleaned Data'!$I$2:$I$600, "Yes")</f>
        <v/>
      </c>
      <c r="E5" s="18">
        <f>IF(B5=0, 0, C5/B5)</f>
        <v/>
      </c>
      <c r="F5" s="18">
        <f>IF(C5=0, 0, D5/C5)</f>
        <v/>
      </c>
      <c r="G5" s="19">
        <f>SUMIFS('Cleaned Data'!$K$2:$K$600, 'Cleaned Data'!$J$2:$J$600, "&gt;=" &amp; A5, 'Cleaned Data'!$J$2:$J$600, "&lt;" &amp; (A5 + 7))</f>
        <v/>
      </c>
      <c r="H5" s="20">
        <f>IFERROR(AVERAGEIFS('Cleaned Data'!$N$2:$N$600, 'Cleaned Data'!$J$2:$J$600, "&gt;=" &amp; A5, 'Cleaned Data'!$J$2:$J$600, "&lt;" &amp; (A5 + 7)), "-")</f>
        <v/>
      </c>
    </row>
    <row r="6">
      <c r="A6" s="21" t="n">
        <v>46089</v>
      </c>
      <c r="B6" s="22">
        <f>COUNTIFS('Cleaned Data'!$B$2:$B$600, "&gt;=" &amp; A6, 'Cleaned Data'!$B$2:$B$600, "&lt;" &amp; (A6 + 7))</f>
        <v/>
      </c>
      <c r="C6" s="22">
        <f>COUNTIFS('Cleaned Data'!$H$2:$H$600, "&gt;=" &amp; A6, 'Cleaned Data'!$H$2:$H$600, "&lt;" &amp; (A6 + 7), 'Cleaned Data'!$G$2:$G$600, "Yes")</f>
        <v/>
      </c>
      <c r="D6" s="22">
        <f>COUNTIFS('Cleaned Data'!$J$2:$J$600, "&gt;=" &amp; A6, 'Cleaned Data'!$J$2:$J$600, "&lt;" &amp; (A6 + 7), 'Cleaned Data'!$I$2:$I$600, "Yes")</f>
        <v/>
      </c>
      <c r="E6" s="23">
        <f>IF(B6=0, 0, C6/B6)</f>
        <v/>
      </c>
      <c r="F6" s="23">
        <f>IF(C6=0, 0, D6/C6)</f>
        <v/>
      </c>
      <c r="G6" s="24">
        <f>SUMIFS('Cleaned Data'!$K$2:$K$600, 'Cleaned Data'!$J$2:$J$600, "&gt;=" &amp; A6, 'Cleaned Data'!$J$2:$J$600, "&lt;" &amp; (A6 + 7))</f>
        <v/>
      </c>
      <c r="H6" s="25">
        <f>IFERROR(AVERAGEIFS('Cleaned Data'!$N$2:$N$600, 'Cleaned Data'!$J$2:$J$600, "&gt;=" &amp; A6, 'Cleaned Data'!$J$2:$J$600, "&lt;" &amp; (A6 + 7)), "-")</f>
        <v/>
      </c>
    </row>
    <row r="7">
      <c r="A7" s="16" t="n">
        <v>46096</v>
      </c>
      <c r="B7" s="17">
        <f>COUNTIFS('Cleaned Data'!$B$2:$B$600, "&gt;=" &amp; A7, 'Cleaned Data'!$B$2:$B$600, "&lt;" &amp; (A7 + 7))</f>
        <v/>
      </c>
      <c r="C7" s="17">
        <f>COUNTIFS('Cleaned Data'!$H$2:$H$600, "&gt;=" &amp; A7, 'Cleaned Data'!$H$2:$H$600, "&lt;" &amp; (A7 + 7), 'Cleaned Data'!$G$2:$G$600, "Yes")</f>
        <v/>
      </c>
      <c r="D7" s="17">
        <f>COUNTIFS('Cleaned Data'!$J$2:$J$600, "&gt;=" &amp; A7, 'Cleaned Data'!$J$2:$J$600, "&lt;" &amp; (A7 + 7), 'Cleaned Data'!$I$2:$I$600, "Yes")</f>
        <v/>
      </c>
      <c r="E7" s="18">
        <f>IF(B7=0, 0, C7/B7)</f>
        <v/>
      </c>
      <c r="F7" s="18">
        <f>IF(C7=0, 0, D7/C7)</f>
        <v/>
      </c>
      <c r="G7" s="19">
        <f>SUMIFS('Cleaned Data'!$K$2:$K$600, 'Cleaned Data'!$J$2:$J$600, "&gt;=" &amp; A7, 'Cleaned Data'!$J$2:$J$600, "&lt;" &amp; (A7 + 7))</f>
        <v/>
      </c>
      <c r="H7" s="20">
        <f>IFERROR(AVERAGEIFS('Cleaned Data'!$N$2:$N$600, 'Cleaned Data'!$J$2:$J$600, "&gt;=" &amp; A7, 'Cleaned Data'!$J$2:$J$600, "&lt;" &amp; (A7 + 7)), "-")</f>
        <v/>
      </c>
    </row>
    <row r="8">
      <c r="A8" s="21" t="n">
        <v>46103</v>
      </c>
      <c r="B8" s="22">
        <f>COUNTIFS('Cleaned Data'!$B$2:$B$600, "&gt;=" &amp; A8, 'Cleaned Data'!$B$2:$B$600, "&lt;" &amp; (A8 + 7))</f>
        <v/>
      </c>
      <c r="C8" s="22">
        <f>COUNTIFS('Cleaned Data'!$H$2:$H$600, "&gt;=" &amp; A8, 'Cleaned Data'!$H$2:$H$600, "&lt;" &amp; (A8 + 7), 'Cleaned Data'!$G$2:$G$600, "Yes")</f>
        <v/>
      </c>
      <c r="D8" s="22">
        <f>COUNTIFS('Cleaned Data'!$J$2:$J$600, "&gt;=" &amp; A8, 'Cleaned Data'!$J$2:$J$600, "&lt;" &amp; (A8 + 7), 'Cleaned Data'!$I$2:$I$600, "Yes")</f>
        <v/>
      </c>
      <c r="E8" s="23">
        <f>IF(B8=0, 0, C8/B8)</f>
        <v/>
      </c>
      <c r="F8" s="23">
        <f>IF(C8=0, 0, D8/C8)</f>
        <v/>
      </c>
      <c r="G8" s="24">
        <f>SUMIFS('Cleaned Data'!$K$2:$K$600, 'Cleaned Data'!$J$2:$J$600, "&gt;=" &amp; A8, 'Cleaned Data'!$J$2:$J$600, "&lt;" &amp; (A8 + 7))</f>
        <v/>
      </c>
      <c r="H8" s="25">
        <f>IFERROR(AVERAGEIFS('Cleaned Data'!$N$2:$N$600, 'Cleaned Data'!$J$2:$J$600, "&gt;=" &amp; A8, 'Cleaned Data'!$J$2:$J$600, "&lt;" &amp; (A8 + 7)), "-")</f>
        <v/>
      </c>
    </row>
    <row r="9">
      <c r="A9" s="16" t="n">
        <v>46110</v>
      </c>
      <c r="B9" s="17">
        <f>COUNTIFS('Cleaned Data'!$B$2:$B$600, "&gt;=" &amp; A9, 'Cleaned Data'!$B$2:$B$600, "&lt;" &amp; (A9 + 7))</f>
        <v/>
      </c>
      <c r="C9" s="17">
        <f>COUNTIFS('Cleaned Data'!$H$2:$H$600, "&gt;=" &amp; A9, 'Cleaned Data'!$H$2:$H$600, "&lt;" &amp; (A9 + 7), 'Cleaned Data'!$G$2:$G$600, "Yes")</f>
        <v/>
      </c>
      <c r="D9" s="17">
        <f>COUNTIFS('Cleaned Data'!$J$2:$J$600, "&gt;=" &amp; A9, 'Cleaned Data'!$J$2:$J$600, "&lt;" &amp; (A9 + 7), 'Cleaned Data'!$I$2:$I$600, "Yes")</f>
        <v/>
      </c>
      <c r="E9" s="18">
        <f>IF(B9=0, 0, C9/B9)</f>
        <v/>
      </c>
      <c r="F9" s="18">
        <f>IF(C9=0, 0, D9/C9)</f>
        <v/>
      </c>
      <c r="G9" s="19">
        <f>SUMIFS('Cleaned Data'!$K$2:$K$600, 'Cleaned Data'!$J$2:$J$600, "&gt;=" &amp; A9, 'Cleaned Data'!$J$2:$J$600, "&lt;" &amp; (A9 + 7))</f>
        <v/>
      </c>
      <c r="H9" s="20">
        <f>IFERROR(AVERAGEIFS('Cleaned Data'!$N$2:$N$600, 'Cleaned Data'!$J$2:$J$600, "&gt;=" &amp; A9, 'Cleaned Data'!$J$2:$J$600, "&lt;" &amp; (A9 + 7)), "-")</f>
        <v/>
      </c>
    </row>
    <row r="10">
      <c r="A10" s="21" t="n">
        <v>46117</v>
      </c>
      <c r="B10" s="22">
        <f>COUNTIFS('Cleaned Data'!$B$2:$B$600, "&gt;=" &amp; A10, 'Cleaned Data'!$B$2:$B$600, "&lt;" &amp; (A10 + 7))</f>
        <v/>
      </c>
      <c r="C10" s="22">
        <f>COUNTIFS('Cleaned Data'!$H$2:$H$600, "&gt;=" &amp; A10, 'Cleaned Data'!$H$2:$H$600, "&lt;" &amp; (A10 + 7), 'Cleaned Data'!$G$2:$G$600, "Yes")</f>
        <v/>
      </c>
      <c r="D10" s="22">
        <f>COUNTIFS('Cleaned Data'!$J$2:$J$600, "&gt;=" &amp; A10, 'Cleaned Data'!$J$2:$J$600, "&lt;" &amp; (A10 + 7), 'Cleaned Data'!$I$2:$I$600, "Yes")</f>
        <v/>
      </c>
      <c r="E10" s="23">
        <f>IF(B10=0, 0, C10/B10)</f>
        <v/>
      </c>
      <c r="F10" s="23">
        <f>IF(C10=0, 0, D10/C10)</f>
        <v/>
      </c>
      <c r="G10" s="24">
        <f>SUMIFS('Cleaned Data'!$K$2:$K$600, 'Cleaned Data'!$J$2:$J$600, "&gt;=" &amp; A10, 'Cleaned Data'!$J$2:$J$600, "&lt;" &amp; (A10 + 7))</f>
        <v/>
      </c>
      <c r="H10" s="25">
        <f>IFERROR(AVERAGEIFS('Cleaned Data'!$N$2:$N$600, 'Cleaned Data'!$J$2:$J$600, "&gt;=" &amp; A10, 'Cleaned Data'!$J$2:$J$600, "&lt;" &amp; (A10 + 7)), "-")</f>
        <v/>
      </c>
    </row>
    <row r="11">
      <c r="A11" s="16" t="n">
        <v>46124</v>
      </c>
      <c r="B11" s="17">
        <f>COUNTIFS('Cleaned Data'!$B$2:$B$600, "&gt;=" &amp; A11, 'Cleaned Data'!$B$2:$B$600, "&lt;" &amp; (A11 + 7))</f>
        <v/>
      </c>
      <c r="C11" s="17">
        <f>COUNTIFS('Cleaned Data'!$H$2:$H$600, "&gt;=" &amp; A11, 'Cleaned Data'!$H$2:$H$600, "&lt;" &amp; (A11 + 7), 'Cleaned Data'!$G$2:$G$600, "Yes")</f>
        <v/>
      </c>
      <c r="D11" s="17">
        <f>COUNTIFS('Cleaned Data'!$J$2:$J$600, "&gt;=" &amp; A11, 'Cleaned Data'!$J$2:$J$600, "&lt;" &amp; (A11 + 7), 'Cleaned Data'!$I$2:$I$600, "Yes")</f>
        <v/>
      </c>
      <c r="E11" s="18">
        <f>IF(B11=0, 0, C11/B11)</f>
        <v/>
      </c>
      <c r="F11" s="18">
        <f>IF(C11=0, 0, D11/C11)</f>
        <v/>
      </c>
      <c r="G11" s="19">
        <f>SUMIFS('Cleaned Data'!$K$2:$K$600, 'Cleaned Data'!$J$2:$J$600, "&gt;=" &amp; A11, 'Cleaned Data'!$J$2:$J$600, "&lt;" &amp; (A11 + 7))</f>
        <v/>
      </c>
      <c r="H11" s="20">
        <f>IFERROR(AVERAGEIFS('Cleaned Data'!$N$2:$N$600, 'Cleaned Data'!$J$2:$J$600, "&gt;=" &amp; A11, 'Cleaned Data'!$J$2:$J$600, "&lt;" &amp; (A11 + 7)), "-")</f>
        <v/>
      </c>
    </row>
    <row r="12">
      <c r="A12" s="21" t="n">
        <v>46131</v>
      </c>
      <c r="B12" s="22">
        <f>COUNTIFS('Cleaned Data'!$B$2:$B$600, "&gt;=" &amp; A12, 'Cleaned Data'!$B$2:$B$600, "&lt;" &amp; (A12 + 7))</f>
        <v/>
      </c>
      <c r="C12" s="22">
        <f>COUNTIFS('Cleaned Data'!$H$2:$H$600, "&gt;=" &amp; A12, 'Cleaned Data'!$H$2:$H$600, "&lt;" &amp; (A12 + 7), 'Cleaned Data'!$G$2:$G$600, "Yes")</f>
        <v/>
      </c>
      <c r="D12" s="22">
        <f>COUNTIFS('Cleaned Data'!$J$2:$J$600, "&gt;=" &amp; A12, 'Cleaned Data'!$J$2:$J$600, "&lt;" &amp; (A12 + 7), 'Cleaned Data'!$I$2:$I$600, "Yes")</f>
        <v/>
      </c>
      <c r="E12" s="23">
        <f>IF(B12=0, 0, C12/B12)</f>
        <v/>
      </c>
      <c r="F12" s="23">
        <f>IF(C12=0, 0, D12/C12)</f>
        <v/>
      </c>
      <c r="G12" s="24">
        <f>SUMIFS('Cleaned Data'!$K$2:$K$600, 'Cleaned Data'!$J$2:$J$600, "&gt;=" &amp; A12, 'Cleaned Data'!$J$2:$J$600, "&lt;" &amp; (A12 + 7))</f>
        <v/>
      </c>
      <c r="H12" s="25">
        <f>IFERROR(AVERAGEIFS('Cleaned Data'!$N$2:$N$600, 'Cleaned Data'!$J$2:$J$600, "&gt;=" &amp; A12, 'Cleaned Data'!$J$2:$J$600, "&lt;" &amp; (A12 + 7)), "-")</f>
        <v/>
      </c>
    </row>
    <row r="13">
      <c r="A13" s="16" t="n">
        <v>46138</v>
      </c>
      <c r="B13" s="17">
        <f>COUNTIFS('Cleaned Data'!$B$2:$B$600, "&gt;=" &amp; A13, 'Cleaned Data'!$B$2:$B$600, "&lt;" &amp; (A13 + 7))</f>
        <v/>
      </c>
      <c r="C13" s="17">
        <f>COUNTIFS('Cleaned Data'!$H$2:$H$600, "&gt;=" &amp; A13, 'Cleaned Data'!$H$2:$H$600, "&lt;" &amp; (A13 + 7), 'Cleaned Data'!$G$2:$G$600, "Yes")</f>
        <v/>
      </c>
      <c r="D13" s="17">
        <f>COUNTIFS('Cleaned Data'!$J$2:$J$600, "&gt;=" &amp; A13, 'Cleaned Data'!$J$2:$J$600, "&lt;" &amp; (A13 + 7), 'Cleaned Data'!$I$2:$I$600, "Yes")</f>
        <v/>
      </c>
      <c r="E13" s="18">
        <f>IF(B13=0, 0, C13/B13)</f>
        <v/>
      </c>
      <c r="F13" s="18">
        <f>IF(C13=0, 0, D13/C13)</f>
        <v/>
      </c>
      <c r="G13" s="19">
        <f>SUMIFS('Cleaned Data'!$K$2:$K$600, 'Cleaned Data'!$J$2:$J$600, "&gt;=" &amp; A13, 'Cleaned Data'!$J$2:$J$600, "&lt;" &amp; (A13 + 7))</f>
        <v/>
      </c>
      <c r="H13" s="20">
        <f>IFERROR(AVERAGEIFS('Cleaned Data'!$N$2:$N$600, 'Cleaned Data'!$J$2:$J$600, "&gt;=" &amp; A13, 'Cleaned Data'!$J$2:$J$600, "&lt;" &amp; (A13 + 7)), "-")</f>
        <v/>
      </c>
    </row>
    <row r="14">
      <c r="A14" s="21" t="n">
        <v>46145</v>
      </c>
      <c r="B14" s="22">
        <f>COUNTIFS('Cleaned Data'!$B$2:$B$600, "&gt;=" &amp; A14, 'Cleaned Data'!$B$2:$B$600, "&lt;" &amp; (A14 + 7))</f>
        <v/>
      </c>
      <c r="C14" s="22">
        <f>COUNTIFS('Cleaned Data'!$H$2:$H$600, "&gt;=" &amp; A14, 'Cleaned Data'!$H$2:$H$600, "&lt;" &amp; (A14 + 7), 'Cleaned Data'!$G$2:$G$600, "Yes")</f>
        <v/>
      </c>
      <c r="D14" s="22">
        <f>COUNTIFS('Cleaned Data'!$J$2:$J$600, "&gt;=" &amp; A14, 'Cleaned Data'!$J$2:$J$600, "&lt;" &amp; (A14 + 7), 'Cleaned Data'!$I$2:$I$600, "Yes")</f>
        <v/>
      </c>
      <c r="E14" s="23">
        <f>IF(B14=0, 0, C14/B14)</f>
        <v/>
      </c>
      <c r="F14" s="23">
        <f>IF(C14=0, 0, D14/C14)</f>
        <v/>
      </c>
      <c r="G14" s="24">
        <f>SUMIFS('Cleaned Data'!$K$2:$K$600, 'Cleaned Data'!$J$2:$J$600, "&gt;=" &amp; A14, 'Cleaned Data'!$J$2:$J$600, "&lt;" &amp; (A14 + 7))</f>
        <v/>
      </c>
      <c r="H14" s="25">
        <f>IFERROR(AVERAGEIFS('Cleaned Data'!$N$2:$N$600, 'Cleaned Data'!$J$2:$J$600, "&gt;=" &amp; A14, 'Cleaned Data'!$J$2:$J$600, "&lt;" &amp; (A14 + 7)), "-")</f>
        <v/>
      </c>
    </row>
    <row r="15">
      <c r="A15" s="16" t="n">
        <v>46152</v>
      </c>
      <c r="B15" s="17">
        <f>COUNTIFS('Cleaned Data'!$B$2:$B$600, "&gt;=" &amp; A15, 'Cleaned Data'!$B$2:$B$600, "&lt;" &amp; (A15 + 7))</f>
        <v/>
      </c>
      <c r="C15" s="17">
        <f>COUNTIFS('Cleaned Data'!$H$2:$H$600, "&gt;=" &amp; A15, 'Cleaned Data'!$H$2:$H$600, "&lt;" &amp; (A15 + 7), 'Cleaned Data'!$G$2:$G$600, "Yes")</f>
        <v/>
      </c>
      <c r="D15" s="17">
        <f>COUNTIFS('Cleaned Data'!$J$2:$J$600, "&gt;=" &amp; A15, 'Cleaned Data'!$J$2:$J$600, "&lt;" &amp; (A15 + 7), 'Cleaned Data'!$I$2:$I$600, "Yes")</f>
        <v/>
      </c>
      <c r="E15" s="18">
        <f>IF(B15=0, 0, C15/B15)</f>
        <v/>
      </c>
      <c r="F15" s="18">
        <f>IF(C15=0, 0, D15/C15)</f>
        <v/>
      </c>
      <c r="G15" s="19">
        <f>SUMIFS('Cleaned Data'!$K$2:$K$600, 'Cleaned Data'!$J$2:$J$600, "&gt;=" &amp; A15, 'Cleaned Data'!$J$2:$J$600, "&lt;" &amp; (A15 + 7))</f>
        <v/>
      </c>
      <c r="H15" s="20">
        <f>IFERROR(AVERAGEIFS('Cleaned Data'!$N$2:$N$600, 'Cleaned Data'!$J$2:$J$600, "&gt;=" &amp; A15, 'Cleaned Data'!$J$2:$J$600, "&lt;" &amp; (A15 + 7)), "-")</f>
        <v/>
      </c>
    </row>
    <row r="16">
      <c r="A16" s="21" t="n">
        <v>46159</v>
      </c>
      <c r="B16" s="22">
        <f>COUNTIFS('Cleaned Data'!$B$2:$B$600, "&gt;=" &amp; A16, 'Cleaned Data'!$B$2:$B$600, "&lt;" &amp; (A16 + 7))</f>
        <v/>
      </c>
      <c r="C16" s="22">
        <f>COUNTIFS('Cleaned Data'!$H$2:$H$600, "&gt;=" &amp; A16, 'Cleaned Data'!$H$2:$H$600, "&lt;" &amp; (A16 + 7), 'Cleaned Data'!$G$2:$G$600, "Yes")</f>
        <v/>
      </c>
      <c r="D16" s="22">
        <f>COUNTIFS('Cleaned Data'!$J$2:$J$600, "&gt;=" &amp; A16, 'Cleaned Data'!$J$2:$J$600, "&lt;" &amp; (A16 + 7), 'Cleaned Data'!$I$2:$I$600, "Yes")</f>
        <v/>
      </c>
      <c r="E16" s="23">
        <f>IF(B16=0, 0, C16/B16)</f>
        <v/>
      </c>
      <c r="F16" s="23">
        <f>IF(C16=0, 0, D16/C16)</f>
        <v/>
      </c>
      <c r="G16" s="24">
        <f>SUMIFS('Cleaned Data'!$K$2:$K$600, 'Cleaned Data'!$J$2:$J$600, "&gt;=" &amp; A16, 'Cleaned Data'!$J$2:$J$600, "&lt;" &amp; (A16 + 7))</f>
        <v/>
      </c>
      <c r="H16" s="25">
        <f>IFERROR(AVERAGEIFS('Cleaned Data'!$N$2:$N$600, 'Cleaned Data'!$J$2:$J$600, "&gt;=" &amp; A16, 'Cleaned Data'!$J$2:$J$600, "&lt;" &amp; (A16 + 7)), "-")</f>
        <v/>
      </c>
    </row>
    <row r="17">
      <c r="A17" s="16" t="n">
        <v>46166</v>
      </c>
      <c r="B17" s="17">
        <f>COUNTIFS('Cleaned Data'!$B$2:$B$600, "&gt;=" &amp; A17, 'Cleaned Data'!$B$2:$B$600, "&lt;" &amp; (A17 + 7))</f>
        <v/>
      </c>
      <c r="C17" s="17">
        <f>COUNTIFS('Cleaned Data'!$H$2:$H$600, "&gt;=" &amp; A17, 'Cleaned Data'!$H$2:$H$600, "&lt;" &amp; (A17 + 7), 'Cleaned Data'!$G$2:$G$600, "Yes")</f>
        <v/>
      </c>
      <c r="D17" s="17">
        <f>COUNTIFS('Cleaned Data'!$J$2:$J$600, "&gt;=" &amp; A17, 'Cleaned Data'!$J$2:$J$600, "&lt;" &amp; (A17 + 7), 'Cleaned Data'!$I$2:$I$600, "Yes")</f>
        <v/>
      </c>
      <c r="E17" s="18">
        <f>IF(B17=0, 0, C17/B17)</f>
        <v/>
      </c>
      <c r="F17" s="18">
        <f>IF(C17=0, 0, D17/C17)</f>
        <v/>
      </c>
      <c r="G17" s="19">
        <f>SUMIFS('Cleaned Data'!$K$2:$K$600, 'Cleaned Data'!$J$2:$J$600, "&gt;=" &amp; A17, 'Cleaned Data'!$J$2:$J$600, "&lt;" &amp; (A17 + 7))</f>
        <v/>
      </c>
      <c r="H17" s="20">
        <f>IFERROR(AVERAGEIFS('Cleaned Data'!$N$2:$N$600, 'Cleaned Data'!$J$2:$J$600, "&gt;=" &amp; A17, 'Cleaned Data'!$J$2:$J$600, "&lt;" &amp; (A17 + 7)), "-")</f>
        <v/>
      </c>
    </row>
    <row r="18">
      <c r="A18" s="26" t="inlineStr">
        <is>
          <t>Total</t>
        </is>
      </c>
      <c r="B18" s="27">
        <f>SUM(B5:B17)</f>
        <v/>
      </c>
      <c r="C18" s="27">
        <f>SUM(C5:C17)</f>
        <v/>
      </c>
      <c r="D18" s="27">
        <f>SUM(D5:D17)</f>
        <v/>
      </c>
      <c r="E18" s="28">
        <f>C18/B18</f>
        <v/>
      </c>
      <c r="F18" s="28">
        <f>D18/C18</f>
        <v/>
      </c>
      <c r="G18" s="29">
        <f>SUM(G5:G17)</f>
        <v/>
      </c>
      <c r="H18" s="30">
        <f>AVERAGE('Cleaned Data'!$N$2:$N$600)</f>
        <v/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34" customWidth="1" min="4" max="4"/>
    <col width="20" customWidth="1" min="5" max="5"/>
    <col width="14" customWidth="1" min="6" max="6"/>
    <col width="19" customWidth="1" min="7" max="7"/>
    <col width="14" customWidth="1" min="8" max="8"/>
    <col width="13" customWidth="1" min="9" max="9"/>
    <col width="19" customWidth="1" min="10" max="10"/>
    <col width="12" customWidth="1" min="11" max="11"/>
    <col width="22" customWidth="1" min="12" max="12"/>
    <col width="28" customWidth="1" min="13" max="13"/>
    <col width="23" customWidth="1" min="14" max="14"/>
  </cols>
  <sheetData>
    <row r="1">
      <c r="A1" s="15" t="inlineStr">
        <is>
          <t>Lead_ID</t>
        </is>
      </c>
      <c r="B1" s="15" t="inlineStr">
        <is>
          <t>Lead_Date</t>
        </is>
      </c>
      <c r="C1" s="15" t="inlineStr">
        <is>
          <t>Company_Name</t>
        </is>
      </c>
      <c r="D1" s="15" t="inlineStr">
        <is>
          <t>Contact_Email</t>
        </is>
      </c>
      <c r="E1" s="15" t="inlineStr">
        <is>
          <t>Lead_Source</t>
        </is>
      </c>
      <c r="F1" s="15" t="inlineStr">
        <is>
          <t>Segment</t>
        </is>
      </c>
      <c r="G1" s="15" t="inlineStr">
        <is>
          <t>Trial_Activated</t>
        </is>
      </c>
      <c r="H1" s="15" t="inlineStr">
        <is>
          <t>Trial_Date</t>
        </is>
      </c>
      <c r="I1" s="15" t="inlineStr">
        <is>
          <t>Converted</t>
        </is>
      </c>
      <c r="J1" s="15" t="inlineStr">
        <is>
          <t>Conversion_Date</t>
        </is>
      </c>
      <c r="K1" s="15" t="inlineStr">
        <is>
          <t>MRR</t>
        </is>
      </c>
      <c r="L1" s="15" t="inlineStr">
        <is>
          <t>Lead_to_Trial_Days</t>
        </is>
      </c>
      <c r="M1" s="15" t="inlineStr">
        <is>
          <t>Trial_to_Conversion_Days</t>
        </is>
      </c>
      <c r="N1" s="15" t="inlineStr">
        <is>
          <t>Total_Deal_Velocity</t>
        </is>
      </c>
    </row>
    <row r="2">
      <c r="A2" s="25" t="inlineStr">
        <is>
          <t>LD-1452</t>
        </is>
      </c>
      <c r="B2" s="21" t="n">
        <v>46116</v>
      </c>
      <c r="C2" s="31" t="inlineStr">
        <is>
          <t>Zenith Solutions</t>
        </is>
      </c>
      <c r="D2" s="31" t="inlineStr">
        <is>
          <t>info@zenithsolutions.com</t>
        </is>
      </c>
      <c r="E2" s="25" t="inlineStr">
        <is>
          <t>Cold Outreach</t>
        </is>
      </c>
      <c r="F2" s="25" t="inlineStr">
        <is>
          <t>SMB</t>
        </is>
      </c>
      <c r="G2" s="25" t="inlineStr">
        <is>
          <t>Yes</t>
        </is>
      </c>
      <c r="H2" s="21" t="n">
        <v>46118</v>
      </c>
      <c r="I2" s="25" t="inlineStr">
        <is>
          <t>Yes</t>
        </is>
      </c>
      <c r="J2" s="21" t="n">
        <v>46127</v>
      </c>
      <c r="K2" s="24" t="n">
        <v>283</v>
      </c>
      <c r="L2" s="22">
        <f>IF(G2="Yes", H2-B2, "")</f>
        <v/>
      </c>
      <c r="M2" s="22">
        <f>IF(I2="Yes", J2-H2, "")</f>
        <v/>
      </c>
      <c r="N2" s="22">
        <f>IF(I2="Yes", J2-B2, "")</f>
        <v/>
      </c>
    </row>
    <row r="3">
      <c r="A3" s="20" t="inlineStr">
        <is>
          <t>LD-1131</t>
        </is>
      </c>
      <c r="B3" s="16" t="n">
        <v>46154</v>
      </c>
      <c r="C3" s="32" t="inlineStr">
        <is>
          <t>Alpha Co</t>
        </is>
      </c>
      <c r="D3" s="32" t="inlineStr">
        <is>
          <t>info@alphaco.com</t>
        </is>
      </c>
      <c r="E3" s="20" t="inlineStr">
        <is>
          <t>Google</t>
        </is>
      </c>
      <c r="F3" s="20" t="inlineStr">
        <is>
          <t>Mid-Market</t>
        </is>
      </c>
      <c r="G3" s="20" t="inlineStr">
        <is>
          <t>Yes</t>
        </is>
      </c>
      <c r="H3" s="16" t="n">
        <v>46162</v>
      </c>
      <c r="I3" s="20" t="inlineStr">
        <is>
          <t>No</t>
        </is>
      </c>
      <c r="J3" s="16" t="n"/>
      <c r="K3" s="19" t="n">
        <v/>
      </c>
      <c r="L3" s="17">
        <f>IF(G3="Yes", H3-B3, "")</f>
        <v/>
      </c>
      <c r="M3" s="17">
        <f>IF(I3="Yes", J3-H3, "")</f>
        <v/>
      </c>
      <c r="N3" s="17">
        <f>IF(I3="Yes", J3-B3, "")</f>
        <v/>
      </c>
    </row>
    <row r="4">
      <c r="A4" s="25" t="inlineStr">
        <is>
          <t>LD-1478</t>
        </is>
      </c>
      <c r="B4" s="21" t="n">
        <v>46159</v>
      </c>
      <c r="C4" s="31" t="inlineStr">
        <is>
          <t>Stellar Global</t>
        </is>
      </c>
      <c r="D4" s="31" t="inlineStr">
        <is>
          <t>info@stellarglobal.com</t>
        </is>
      </c>
      <c r="E4" s="25" t="inlineStr">
        <is>
          <t>Google</t>
        </is>
      </c>
      <c r="F4" s="25" t="inlineStr">
        <is>
          <t>Mid-Market</t>
        </is>
      </c>
      <c r="G4" s="25" t="inlineStr">
        <is>
          <t>Yes</t>
        </is>
      </c>
      <c r="H4" s="21" t="n">
        <v>46163</v>
      </c>
      <c r="I4" s="25" t="inlineStr">
        <is>
          <t>No</t>
        </is>
      </c>
      <c r="J4" s="21" t="n"/>
      <c r="K4" s="24" t="n">
        <v/>
      </c>
      <c r="L4" s="22">
        <f>IF(G4="Yes", H4-B4, "")</f>
        <v/>
      </c>
      <c r="M4" s="22">
        <f>IF(I4="Yes", J4-H4, "")</f>
        <v/>
      </c>
      <c r="N4" s="22">
        <f>IF(I4="Yes", J4-B4, "")</f>
        <v/>
      </c>
    </row>
    <row r="5">
      <c r="A5" s="20" t="inlineStr">
        <is>
          <t>LD-1177</t>
        </is>
      </c>
      <c r="B5" s="16" t="n">
        <v>46099</v>
      </c>
      <c r="C5" s="32" t="inlineStr">
        <is>
          <t>Omega Co</t>
        </is>
      </c>
      <c r="D5" s="32" t="inlineStr">
        <is>
          <t>info@omegaco.com</t>
        </is>
      </c>
      <c r="E5" s="20" t="inlineStr">
        <is>
          <t>Cold Outreach</t>
        </is>
      </c>
      <c r="F5" s="20" t="inlineStr">
        <is>
          <t>SMB</t>
        </is>
      </c>
      <c r="G5" s="20" t="inlineStr">
        <is>
          <t>Yes</t>
        </is>
      </c>
      <c r="H5" s="16" t="n">
        <v>46104</v>
      </c>
      <c r="I5" s="20" t="inlineStr">
        <is>
          <t>No</t>
        </is>
      </c>
      <c r="J5" s="16" t="n"/>
      <c r="K5" s="19" t="n">
        <v/>
      </c>
      <c r="L5" s="17">
        <f>IF(G5="Yes", H5-B5, "")</f>
        <v/>
      </c>
      <c r="M5" s="17">
        <f>IF(I5="Yes", J5-H5, "")</f>
        <v/>
      </c>
      <c r="N5" s="17">
        <f>IF(I5="Yes", J5-B5, "")</f>
        <v/>
      </c>
    </row>
    <row r="6">
      <c r="A6" s="25" t="inlineStr">
        <is>
          <t>LD-1504</t>
        </is>
      </c>
      <c r="B6" s="21" t="n">
        <v>46140</v>
      </c>
      <c r="C6" s="31" t="inlineStr">
        <is>
          <t>Core Group</t>
        </is>
      </c>
      <c r="D6" s="31" t="inlineStr">
        <is>
          <t>info@coregroup.com</t>
        </is>
      </c>
      <c r="E6" s="25" t="inlineStr">
        <is>
          <t>Google</t>
        </is>
      </c>
      <c r="F6" s="25" t="inlineStr">
        <is>
          <t>Enterprise</t>
        </is>
      </c>
      <c r="G6" s="25" t="inlineStr">
        <is>
          <t>Yes</t>
        </is>
      </c>
      <c r="H6" s="21" t="n">
        <v>46146</v>
      </c>
      <c r="I6" s="25" t="inlineStr">
        <is>
          <t>Yes</t>
        </is>
      </c>
      <c r="J6" s="21" t="n">
        <v>46163</v>
      </c>
      <c r="K6" s="24" t="n">
        <v>5000</v>
      </c>
      <c r="L6" s="22">
        <f>IF(G6="Yes", H6-B6, "")</f>
        <v/>
      </c>
      <c r="M6" s="22">
        <f>IF(I6="Yes", J6-H6, "")</f>
        <v/>
      </c>
      <c r="N6" s="22">
        <f>IF(I6="Yes", J6-B6, "")</f>
        <v/>
      </c>
    </row>
    <row r="7">
      <c r="A7" s="20" t="inlineStr">
        <is>
          <t>LD-1270</t>
        </is>
      </c>
      <c r="B7" s="16" t="n">
        <v>46100</v>
      </c>
      <c r="C7" s="32" t="inlineStr">
        <is>
          <t>Shift Inc</t>
        </is>
      </c>
      <c r="D7" s="32" t="inlineStr">
        <is>
          <t>info@shiftinc.com</t>
        </is>
      </c>
      <c r="E7" s="20" t="inlineStr">
        <is>
          <t>LinkedIn</t>
        </is>
      </c>
      <c r="F7" s="20" t="inlineStr">
        <is>
          <t>Enterprise</t>
        </is>
      </c>
      <c r="G7" s="20" t="inlineStr">
        <is>
          <t>Yes</t>
        </is>
      </c>
      <c r="H7" s="16" t="n">
        <v>46103</v>
      </c>
      <c r="I7" s="20" t="inlineStr">
        <is>
          <t>No</t>
        </is>
      </c>
      <c r="J7" s="16" t="n"/>
      <c r="K7" s="19" t="n">
        <v/>
      </c>
      <c r="L7" s="17">
        <f>IF(G7="Yes", H7-B7, "")</f>
        <v/>
      </c>
      <c r="M7" s="17">
        <f>IF(I7="Yes", J7-H7, "")</f>
        <v/>
      </c>
      <c r="N7" s="17">
        <f>IF(I7="Yes", J7-B7, "")</f>
        <v/>
      </c>
    </row>
    <row r="8">
      <c r="A8" s="25" t="inlineStr">
        <is>
          <t>LD-1540</t>
        </is>
      </c>
      <c r="B8" s="21" t="n">
        <v>46120</v>
      </c>
      <c r="C8" s="31" t="inlineStr">
        <is>
          <t>Flux Corp</t>
        </is>
      </c>
      <c r="D8" s="31" t="inlineStr">
        <is>
          <t>info@fluxcorp.com</t>
        </is>
      </c>
      <c r="E8" s="25" t="inlineStr">
        <is>
          <t>Cold Outreach</t>
        </is>
      </c>
      <c r="F8" s="25" t="inlineStr">
        <is>
          <t>Mid-Market</t>
        </is>
      </c>
      <c r="G8" s="25" t="inlineStr">
        <is>
          <t>No</t>
        </is>
      </c>
      <c r="H8" s="21" t="n"/>
      <c r="I8" s="25" t="inlineStr">
        <is>
          <t>No</t>
        </is>
      </c>
      <c r="J8" s="21" t="n"/>
      <c r="K8" s="24" t="n">
        <v/>
      </c>
      <c r="L8" s="22">
        <f>IF(G8="Yes", H8-B8, "")</f>
        <v/>
      </c>
      <c r="M8" s="22">
        <f>IF(I8="Yes", J8-H8, "")</f>
        <v/>
      </c>
      <c r="N8" s="22">
        <f>IF(I8="Yes", J8-B8, "")</f>
        <v/>
      </c>
    </row>
    <row r="9">
      <c r="A9" s="20" t="inlineStr">
        <is>
          <t>LD-1314</t>
        </is>
      </c>
      <c r="B9" s="16" t="n">
        <v>46085</v>
      </c>
      <c r="C9" s="32" t="inlineStr">
        <is>
          <t>Summit LLC</t>
        </is>
      </c>
      <c r="D9" s="32" t="inlineStr">
        <is>
          <t>info@summitllc.com</t>
        </is>
      </c>
      <c r="E9" s="20" t="inlineStr">
        <is>
          <t>LinkedIn</t>
        </is>
      </c>
      <c r="F9" s="20" t="inlineStr">
        <is>
          <t>SMB</t>
        </is>
      </c>
      <c r="G9" s="20" t="inlineStr">
        <is>
          <t>Yes</t>
        </is>
      </c>
      <c r="H9" s="16" t="n">
        <v>46094</v>
      </c>
      <c r="I9" s="20" t="inlineStr">
        <is>
          <t>No</t>
        </is>
      </c>
      <c r="J9" s="16" t="n"/>
      <c r="K9" s="19" t="n">
        <v/>
      </c>
      <c r="L9" s="17">
        <f>IF(G9="Yes", H9-B9, "")</f>
        <v/>
      </c>
      <c r="M9" s="17">
        <f>IF(I9="Yes", J9-H9, "")</f>
        <v/>
      </c>
      <c r="N9" s="17">
        <f>IF(I9="Yes", J9-B9, "")</f>
        <v/>
      </c>
    </row>
    <row r="10">
      <c r="A10" s="25" t="inlineStr">
        <is>
          <t>LD-1150</t>
        </is>
      </c>
      <c r="B10" s="21" t="n">
        <v>46092</v>
      </c>
      <c r="C10" s="31" t="inlineStr">
        <is>
          <t>Flux Corp</t>
        </is>
      </c>
      <c r="D10" s="31" t="inlineStr">
        <is>
          <t>info@fluxcorp.com</t>
        </is>
      </c>
      <c r="E10" s="25" t="inlineStr">
        <is>
          <t>Organic / Direct</t>
        </is>
      </c>
      <c r="F10" s="25" t="inlineStr">
        <is>
          <t>Enterprise</t>
        </is>
      </c>
      <c r="G10" s="25" t="inlineStr">
        <is>
          <t>Yes</t>
        </is>
      </c>
      <c r="H10" s="21" t="n">
        <v>46099</v>
      </c>
      <c r="I10" s="25" t="inlineStr">
        <is>
          <t>No</t>
        </is>
      </c>
      <c r="J10" s="21" t="n"/>
      <c r="K10" s="24" t="n">
        <v/>
      </c>
      <c r="L10" s="22">
        <f>IF(G10="Yes", H10-B10, "")</f>
        <v/>
      </c>
      <c r="M10" s="22">
        <f>IF(I10="Yes", J10-H10, "")</f>
        <v/>
      </c>
      <c r="N10" s="22">
        <f>IF(I10="Yes", J10-B10, "")</f>
        <v/>
      </c>
    </row>
    <row r="11">
      <c r="A11" s="20" t="inlineStr">
        <is>
          <t>LD-1273</t>
        </is>
      </c>
      <c r="B11" s="16" t="n">
        <v>46085</v>
      </c>
      <c r="C11" s="32" t="inlineStr">
        <is>
          <t>Stellar Solutions</t>
        </is>
      </c>
      <c r="D11" s="32" t="inlineStr">
        <is>
          <t>info@stellarsolutions.com</t>
        </is>
      </c>
      <c r="E11" s="20" t="inlineStr">
        <is>
          <t>Organic / Direct</t>
        </is>
      </c>
      <c r="F11" s="20" t="inlineStr">
        <is>
          <t>Mid-Market</t>
        </is>
      </c>
      <c r="G11" s="20" t="inlineStr">
        <is>
          <t>Yes</t>
        </is>
      </c>
      <c r="H11" s="16" t="n">
        <v>46086</v>
      </c>
      <c r="I11" s="20" t="inlineStr">
        <is>
          <t>No</t>
        </is>
      </c>
      <c r="J11" s="16" t="n"/>
      <c r="K11" s="19" t="n">
        <v/>
      </c>
      <c r="L11" s="17">
        <f>IF(G11="Yes", H11-B11, "")</f>
        <v/>
      </c>
      <c r="M11" s="17">
        <f>IF(I11="Yes", J11-H11, "")</f>
        <v/>
      </c>
      <c r="N11" s="17">
        <f>IF(I11="Yes", J11-B11, "")</f>
        <v/>
      </c>
    </row>
    <row r="12">
      <c r="A12" s="25" t="inlineStr">
        <is>
          <t>LD-1126</t>
        </is>
      </c>
      <c r="B12" s="21" t="n">
        <v>46146</v>
      </c>
      <c r="C12" s="31" t="inlineStr">
        <is>
          <t>Flux Corp</t>
        </is>
      </c>
      <c r="D12" s="31" t="inlineStr">
        <is>
          <t>info@fluxcorp.com</t>
        </is>
      </c>
      <c r="E12" s="25" t="inlineStr">
        <is>
          <t>Referral</t>
        </is>
      </c>
      <c r="F12" s="25" t="inlineStr">
        <is>
          <t>SMB</t>
        </is>
      </c>
      <c r="G12" s="25" t="inlineStr">
        <is>
          <t>Yes</t>
        </is>
      </c>
      <c r="H12" s="21" t="n">
        <v>46148</v>
      </c>
      <c r="I12" s="25" t="inlineStr">
        <is>
          <t>No</t>
        </is>
      </c>
      <c r="J12" s="21" t="n"/>
      <c r="K12" s="24" t="n">
        <v/>
      </c>
      <c r="L12" s="22">
        <f>IF(G12="Yes", H12-B12, "")</f>
        <v/>
      </c>
      <c r="M12" s="22">
        <f>IF(I12="Yes", J12-H12, "")</f>
        <v/>
      </c>
      <c r="N12" s="22">
        <f>IF(I12="Yes", J12-B12, "")</f>
        <v/>
      </c>
    </row>
    <row r="13">
      <c r="A13" s="20" t="inlineStr">
        <is>
          <t>LD-1040</t>
        </is>
      </c>
      <c r="B13" s="16" t="n">
        <v>46082</v>
      </c>
      <c r="C13" s="32" t="inlineStr">
        <is>
          <t>Pulse Solutions</t>
        </is>
      </c>
      <c r="D13" s="32" t="inlineStr">
        <is>
          <t>info@pulsesolutions.com</t>
        </is>
      </c>
      <c r="E13" s="20" t="inlineStr">
        <is>
          <t>Webinar</t>
        </is>
      </c>
      <c r="F13" s="20" t="inlineStr">
        <is>
          <t>Mid-Market</t>
        </is>
      </c>
      <c r="G13" s="20" t="inlineStr">
        <is>
          <t>Yes</t>
        </is>
      </c>
      <c r="H13" s="16" t="n">
        <v>46084</v>
      </c>
      <c r="I13" s="20" t="inlineStr">
        <is>
          <t>No</t>
        </is>
      </c>
      <c r="J13" s="16" t="n"/>
      <c r="K13" s="19" t="n">
        <v/>
      </c>
      <c r="L13" s="17">
        <f>IF(G13="Yes", H13-B13, "")</f>
        <v/>
      </c>
      <c r="M13" s="17">
        <f>IF(I13="Yes", J13-H13, "")</f>
        <v/>
      </c>
      <c r="N13" s="17">
        <f>IF(I13="Yes", J13-B13, "")</f>
        <v/>
      </c>
    </row>
    <row r="14">
      <c r="A14" s="25" t="inlineStr">
        <is>
          <t>LD-1404</t>
        </is>
      </c>
      <c r="B14" s="21" t="n">
        <v>46163</v>
      </c>
      <c r="C14" s="31" t="inlineStr">
        <is>
          <t>Beacon Global</t>
        </is>
      </c>
      <c r="D14" s="31" t="inlineStr">
        <is>
          <t>info@beaconglobal.com</t>
        </is>
      </c>
      <c r="E14" s="25" t="inlineStr">
        <is>
          <t>Referral</t>
        </is>
      </c>
      <c r="F14" s="25" t="inlineStr">
        <is>
          <t>Mid-Market</t>
        </is>
      </c>
      <c r="G14" s="25" t="inlineStr">
        <is>
          <t>Yes</t>
        </is>
      </c>
      <c r="H14" s="21" t="n">
        <v>46165</v>
      </c>
      <c r="I14" s="25" t="inlineStr">
        <is>
          <t>No</t>
        </is>
      </c>
      <c r="J14" s="21" t="n"/>
      <c r="K14" s="24" t="n">
        <v/>
      </c>
      <c r="L14" s="22">
        <f>IF(G14="Yes", H14-B14, "")</f>
        <v/>
      </c>
      <c r="M14" s="22">
        <f>IF(I14="Yes", J14-H14, "")</f>
        <v/>
      </c>
      <c r="N14" s="22">
        <f>IF(I14="Yes", J14-B14, "")</f>
        <v/>
      </c>
    </row>
    <row r="15">
      <c r="A15" s="20" t="inlineStr">
        <is>
          <t>LD-1264</t>
        </is>
      </c>
      <c r="B15" s="16" t="n">
        <v>46145</v>
      </c>
      <c r="C15" s="32" t="inlineStr">
        <is>
          <t>Stellar Co (Duplicate Entry)</t>
        </is>
      </c>
      <c r="D15" s="32" t="inlineStr">
        <is>
          <t>info@stellarco.com</t>
        </is>
      </c>
      <c r="E15" s="20" t="inlineStr">
        <is>
          <t>Referral</t>
        </is>
      </c>
      <c r="F15" s="20" t="inlineStr">
        <is>
          <t>Mid-Market</t>
        </is>
      </c>
      <c r="G15" s="20" t="inlineStr">
        <is>
          <t>No</t>
        </is>
      </c>
      <c r="H15" s="16" t="n"/>
      <c r="I15" s="20" t="inlineStr">
        <is>
          <t>No</t>
        </is>
      </c>
      <c r="J15" s="16" t="n"/>
      <c r="K15" s="19" t="n">
        <v/>
      </c>
      <c r="L15" s="17">
        <f>IF(G15="Yes", H15-B15, "")</f>
        <v/>
      </c>
      <c r="M15" s="17">
        <f>IF(I15="Yes", J15-H15, "")</f>
        <v/>
      </c>
      <c r="N15" s="17">
        <f>IF(I15="Yes", J15-B15, "")</f>
        <v/>
      </c>
    </row>
    <row r="16">
      <c r="A16" s="25" t="inlineStr">
        <is>
          <t>LD-1434</t>
        </is>
      </c>
      <c r="B16" s="21" t="n">
        <v>46105</v>
      </c>
      <c r="C16" s="31" t="inlineStr">
        <is>
          <t>Synergy Technologies</t>
        </is>
      </c>
      <c r="D16" s="31" t="inlineStr">
        <is>
          <t>info@synergytechnologies.com</t>
        </is>
      </c>
      <c r="E16" s="25" t="inlineStr">
        <is>
          <t>LinkedIn</t>
        </is>
      </c>
      <c r="F16" s="25" t="inlineStr">
        <is>
          <t>SMB</t>
        </is>
      </c>
      <c r="G16" s="25" t="inlineStr">
        <is>
          <t>Yes</t>
        </is>
      </c>
      <c r="H16" s="21" t="n">
        <v>46109</v>
      </c>
      <c r="I16" s="25" t="inlineStr">
        <is>
          <t>No</t>
        </is>
      </c>
      <c r="J16" s="21" t="n"/>
      <c r="K16" s="24" t="n">
        <v/>
      </c>
      <c r="L16" s="22">
        <f>IF(G16="Yes", H16-B16, "")</f>
        <v/>
      </c>
      <c r="M16" s="22">
        <f>IF(I16="Yes", J16-H16, "")</f>
        <v/>
      </c>
      <c r="N16" s="22">
        <f>IF(I16="Yes", J16-B16, "")</f>
        <v/>
      </c>
    </row>
    <row r="17">
      <c r="A17" s="20" t="inlineStr">
        <is>
          <t>LD-1519</t>
        </is>
      </c>
      <c r="B17" s="16" t="n">
        <v>46164</v>
      </c>
      <c r="C17" s="32" t="inlineStr">
        <is>
          <t>Sovereign Partners</t>
        </is>
      </c>
      <c r="D17" s="32" t="inlineStr">
        <is>
          <t>info@sovereignpartners.com</t>
        </is>
      </c>
      <c r="E17" s="20" t="inlineStr">
        <is>
          <t>LinkedIn</t>
        </is>
      </c>
      <c r="F17" s="20" t="inlineStr">
        <is>
          <t>Mid-Market</t>
        </is>
      </c>
      <c r="G17" s="20" t="inlineStr">
        <is>
          <t>No</t>
        </is>
      </c>
      <c r="H17" s="16" t="n"/>
      <c r="I17" s="20" t="inlineStr">
        <is>
          <t>No</t>
        </is>
      </c>
      <c r="J17" s="16" t="n"/>
      <c r="K17" s="19" t="n">
        <v/>
      </c>
      <c r="L17" s="17">
        <f>IF(G17="Yes", H17-B17, "")</f>
        <v/>
      </c>
      <c r="M17" s="17">
        <f>IF(I17="Yes", J17-H17, "")</f>
        <v/>
      </c>
      <c r="N17" s="17">
        <f>IF(I17="Yes", J17-B17, "")</f>
        <v/>
      </c>
    </row>
    <row r="18">
      <c r="A18" s="25" t="inlineStr">
        <is>
          <t>LD-1258</t>
        </is>
      </c>
      <c r="B18" s="21" t="n">
        <v>46086</v>
      </c>
      <c r="C18" s="31" t="inlineStr">
        <is>
          <t>Flux Corp</t>
        </is>
      </c>
      <c r="D18" s="31" t="inlineStr">
        <is>
          <t>info@fluxcorp.com</t>
        </is>
      </c>
      <c r="E18" s="25" t="inlineStr">
        <is>
          <t>Organic / Direct</t>
        </is>
      </c>
      <c r="F18" s="25" t="inlineStr">
        <is>
          <t>SMB</t>
        </is>
      </c>
      <c r="G18" s="25" t="inlineStr">
        <is>
          <t>Yes</t>
        </is>
      </c>
      <c r="H18" s="21" t="n">
        <v>46096</v>
      </c>
      <c r="I18" s="25" t="inlineStr">
        <is>
          <t>No</t>
        </is>
      </c>
      <c r="J18" s="21" t="n"/>
      <c r="K18" s="24" t="n">
        <v/>
      </c>
      <c r="L18" s="22">
        <f>IF(G18="Yes", H18-B18, "")</f>
        <v/>
      </c>
      <c r="M18" s="22">
        <f>IF(I18="Yes", J18-H18, "")</f>
        <v/>
      </c>
      <c r="N18" s="22">
        <f>IF(I18="Yes", J18-B18, "")</f>
        <v/>
      </c>
    </row>
    <row r="19">
      <c r="A19" s="20" t="inlineStr">
        <is>
          <t>LD-1449</t>
        </is>
      </c>
      <c r="B19" s="16" t="n">
        <v>46144</v>
      </c>
      <c r="C19" s="32" t="inlineStr">
        <is>
          <t>Acme LLC</t>
        </is>
      </c>
      <c r="D19" s="32" t="inlineStr">
        <is>
          <t>info@acmellc.com</t>
        </is>
      </c>
      <c r="E19" s="20" t="inlineStr">
        <is>
          <t>Organic / Direct</t>
        </is>
      </c>
      <c r="F19" s="20" t="inlineStr">
        <is>
          <t>SMB</t>
        </is>
      </c>
      <c r="G19" s="20" t="inlineStr">
        <is>
          <t>Yes</t>
        </is>
      </c>
      <c r="H19" s="16" t="n">
        <v>46148</v>
      </c>
      <c r="I19" s="20" t="inlineStr">
        <is>
          <t>No</t>
        </is>
      </c>
      <c r="J19" s="16" t="n"/>
      <c r="K19" s="19" t="n">
        <v/>
      </c>
      <c r="L19" s="17">
        <f>IF(G19="Yes", H19-B19, "")</f>
        <v/>
      </c>
      <c r="M19" s="17">
        <f>IF(I19="Yes", J19-H19, "")</f>
        <v/>
      </c>
      <c r="N19" s="17">
        <f>IF(I19="Yes", J19-B19, "")</f>
        <v/>
      </c>
    </row>
    <row r="20">
      <c r="A20" s="25" t="inlineStr">
        <is>
          <t>LD-1205</t>
        </is>
      </c>
      <c r="B20" s="21" t="n">
        <v>46084</v>
      </c>
      <c r="C20" s="31" t="inlineStr">
        <is>
          <t>Acme Solutions</t>
        </is>
      </c>
      <c r="D20" s="31" t="inlineStr">
        <is>
          <t>info@acmesolutions.com</t>
        </is>
      </c>
      <c r="E20" s="25" t="inlineStr">
        <is>
          <t>LinkedIn</t>
        </is>
      </c>
      <c r="F20" s="25" t="inlineStr">
        <is>
          <t>Enterprise</t>
        </is>
      </c>
      <c r="G20" s="25" t="inlineStr">
        <is>
          <t>Yes</t>
        </is>
      </c>
      <c r="H20" s="21" t="n">
        <v>46085</v>
      </c>
      <c r="I20" s="25" t="inlineStr">
        <is>
          <t>No</t>
        </is>
      </c>
      <c r="J20" s="21" t="n"/>
      <c r="K20" s="24" t="n">
        <v/>
      </c>
      <c r="L20" s="22">
        <f>IF(G20="Yes", H20-B20, "")</f>
        <v/>
      </c>
      <c r="M20" s="22">
        <f>IF(I20="Yes", J20-H20, "")</f>
        <v/>
      </c>
      <c r="N20" s="22">
        <f>IF(I20="Yes", J20-B20, "")</f>
        <v/>
      </c>
    </row>
    <row r="21">
      <c r="A21" s="20" t="inlineStr">
        <is>
          <t>LD-1147</t>
        </is>
      </c>
      <c r="B21" s="16" t="n">
        <v>46084</v>
      </c>
      <c r="C21" s="32" t="inlineStr">
        <is>
          <t>Sovereign Global</t>
        </is>
      </c>
      <c r="D21" s="32" t="inlineStr">
        <is>
          <t>info@sovereignglobal.com</t>
        </is>
      </c>
      <c r="E21" s="20" t="inlineStr">
        <is>
          <t>Referral</t>
        </is>
      </c>
      <c r="F21" s="20" t="inlineStr">
        <is>
          <t>SMB</t>
        </is>
      </c>
      <c r="G21" s="20" t="inlineStr">
        <is>
          <t>No</t>
        </is>
      </c>
      <c r="H21" s="16" t="n"/>
      <c r="I21" s="20" t="inlineStr">
        <is>
          <t>No</t>
        </is>
      </c>
      <c r="J21" s="16" t="n"/>
      <c r="K21" s="19" t="n">
        <v/>
      </c>
      <c r="L21" s="17">
        <f>IF(G21="Yes", H21-B21, "")</f>
        <v/>
      </c>
      <c r="M21" s="17">
        <f>IF(I21="Yes", J21-H21, "")</f>
        <v/>
      </c>
      <c r="N21" s="17">
        <f>IF(I21="Yes", J21-B21, "")</f>
        <v/>
      </c>
    </row>
    <row r="22">
      <c r="A22" s="25" t="inlineStr">
        <is>
          <t>LD-1049</t>
        </is>
      </c>
      <c r="B22" s="21" t="n">
        <v>46117</v>
      </c>
      <c r="C22" s="31" t="inlineStr">
        <is>
          <t>Cloud Partners</t>
        </is>
      </c>
      <c r="D22" s="31" t="inlineStr">
        <is>
          <t>info@cloudpartners.com</t>
        </is>
      </c>
      <c r="E22" s="25" t="inlineStr">
        <is>
          <t>Google</t>
        </is>
      </c>
      <c r="F22" s="25" t="inlineStr">
        <is>
          <t>Enterprise</t>
        </is>
      </c>
      <c r="G22" s="25" t="inlineStr">
        <is>
          <t>Yes</t>
        </is>
      </c>
      <c r="H22" s="21" t="n">
        <v>46122</v>
      </c>
      <c r="I22" s="25" t="inlineStr">
        <is>
          <t>No</t>
        </is>
      </c>
      <c r="J22" s="21" t="n"/>
      <c r="K22" s="24" t="n">
        <v/>
      </c>
      <c r="L22" s="22">
        <f>IF(G22="Yes", H22-B22, "")</f>
        <v/>
      </c>
      <c r="M22" s="22">
        <f>IF(I22="Yes", J22-H22, "")</f>
        <v/>
      </c>
      <c r="N22" s="22">
        <f>IF(I22="Yes", J22-B22, "")</f>
        <v/>
      </c>
    </row>
    <row r="23">
      <c r="A23" s="20" t="inlineStr">
        <is>
          <t>LD-1268</t>
        </is>
      </c>
      <c r="B23" s="16" t="n">
        <v>46138</v>
      </c>
      <c r="C23" s="32" t="inlineStr">
        <is>
          <t>Core Corp (Duplicate Entry)</t>
        </is>
      </c>
      <c r="D23" s="32" t="inlineStr">
        <is>
          <t>info@corecorp.com</t>
        </is>
      </c>
      <c r="E23" s="20" t="inlineStr">
        <is>
          <t>Google</t>
        </is>
      </c>
      <c r="F23" s="20" t="inlineStr">
        <is>
          <t>Mid-Market</t>
        </is>
      </c>
      <c r="G23" s="20" t="inlineStr">
        <is>
          <t>Yes</t>
        </is>
      </c>
      <c r="H23" s="16" t="n">
        <v>46145</v>
      </c>
      <c r="I23" s="20" t="inlineStr">
        <is>
          <t>Yes</t>
        </is>
      </c>
      <c r="J23" s="16" t="n">
        <v>46153</v>
      </c>
      <c r="K23" s="19" t="n">
        <v>605</v>
      </c>
      <c r="L23" s="17">
        <f>IF(G23="Yes", H23-B23, "")</f>
        <v/>
      </c>
      <c r="M23" s="17">
        <f>IF(I23="Yes", J23-H23, "")</f>
        <v/>
      </c>
      <c r="N23" s="17">
        <f>IF(I23="Yes", J23-B23, "")</f>
        <v/>
      </c>
    </row>
    <row r="24">
      <c r="A24" s="25" t="inlineStr">
        <is>
          <t>LD-1080</t>
        </is>
      </c>
      <c r="B24" s="21" t="n">
        <v>46145</v>
      </c>
      <c r="C24" s="31" t="inlineStr">
        <is>
          <t>Omega Global</t>
        </is>
      </c>
      <c r="D24" s="31" t="inlineStr">
        <is>
          <t>info@omegaglobal.com</t>
        </is>
      </c>
      <c r="E24" s="25" t="inlineStr">
        <is>
          <t>LinkedIn</t>
        </is>
      </c>
      <c r="F24" s="25" t="inlineStr">
        <is>
          <t>Mid-Market</t>
        </is>
      </c>
      <c r="G24" s="25" t="inlineStr">
        <is>
          <t>Yes</t>
        </is>
      </c>
      <c r="H24" s="21" t="n">
        <v>46152</v>
      </c>
      <c r="I24" s="25" t="inlineStr">
        <is>
          <t>No</t>
        </is>
      </c>
      <c r="J24" s="21" t="n"/>
      <c r="K24" s="24" t="n">
        <v/>
      </c>
      <c r="L24" s="22">
        <f>IF(G24="Yes", H24-B24, "")</f>
        <v/>
      </c>
      <c r="M24" s="22">
        <f>IF(I24="Yes", J24-H24, "")</f>
        <v/>
      </c>
      <c r="N24" s="22">
        <f>IF(I24="Yes", J24-B24, "")</f>
        <v/>
      </c>
    </row>
    <row r="25">
      <c r="A25" s="20" t="inlineStr">
        <is>
          <t>LD-1364</t>
        </is>
      </c>
      <c r="B25" s="16" t="n">
        <v>46153</v>
      </c>
      <c r="C25" s="32" t="inlineStr">
        <is>
          <t>Nova Technologies</t>
        </is>
      </c>
      <c r="D25" s="32" t="inlineStr">
        <is>
          <t>info@novatechnologies.com</t>
        </is>
      </c>
      <c r="E25" s="20" t="inlineStr">
        <is>
          <t>Webinar</t>
        </is>
      </c>
      <c r="F25" s="20" t="inlineStr">
        <is>
          <t>Enterprise</t>
        </is>
      </c>
      <c r="G25" s="20" t="inlineStr">
        <is>
          <t>Yes</t>
        </is>
      </c>
      <c r="H25" s="16" t="n">
        <v>46159</v>
      </c>
      <c r="I25" s="20" t="inlineStr">
        <is>
          <t>No</t>
        </is>
      </c>
      <c r="J25" s="16" t="n"/>
      <c r="K25" s="19" t="n">
        <v/>
      </c>
      <c r="L25" s="17">
        <f>IF(G25="Yes", H25-B25, "")</f>
        <v/>
      </c>
      <c r="M25" s="17">
        <f>IF(I25="Yes", J25-H25, "")</f>
        <v/>
      </c>
      <c r="N25" s="17">
        <f>IF(I25="Yes", J25-B25, "")</f>
        <v/>
      </c>
    </row>
    <row r="26">
      <c r="A26" s="25" t="inlineStr">
        <is>
          <t>LD-1418</t>
        </is>
      </c>
      <c r="B26" s="21" t="n">
        <v>46121</v>
      </c>
      <c r="C26" s="31" t="inlineStr">
        <is>
          <t>Omega Group</t>
        </is>
      </c>
      <c r="D26" s="31" t="inlineStr">
        <is>
          <t>info@omegagroup.com</t>
        </is>
      </c>
      <c r="E26" s="25" t="inlineStr">
        <is>
          <t>Organic / Direct</t>
        </is>
      </c>
      <c r="F26" s="25" t="inlineStr">
        <is>
          <t>SMB</t>
        </is>
      </c>
      <c r="G26" s="25" t="inlineStr">
        <is>
          <t>Yes</t>
        </is>
      </c>
      <c r="H26" s="21" t="n">
        <v>46124</v>
      </c>
      <c r="I26" s="25" t="inlineStr">
        <is>
          <t>Yes</t>
        </is>
      </c>
      <c r="J26" s="21" t="n">
        <v>46141</v>
      </c>
      <c r="K26" s="24" t="n">
        <v>186</v>
      </c>
      <c r="L26" s="22">
        <f>IF(G26="Yes", H26-B26, "")</f>
        <v/>
      </c>
      <c r="M26" s="22">
        <f>IF(I26="Yes", J26-H26, "")</f>
        <v/>
      </c>
      <c r="N26" s="22">
        <f>IF(I26="Yes", J26-B26, "")</f>
        <v/>
      </c>
    </row>
    <row r="27">
      <c r="A27" s="20" t="inlineStr">
        <is>
          <t>LD-1007</t>
        </is>
      </c>
      <c r="B27" s="16" t="n">
        <v>46164</v>
      </c>
      <c r="C27" s="32" t="inlineStr">
        <is>
          <t>Summit Global</t>
        </is>
      </c>
      <c r="D27" s="32" t="inlineStr">
        <is>
          <t>info@summitglobal.com</t>
        </is>
      </c>
      <c r="E27" s="20" t="inlineStr">
        <is>
          <t>Referral</t>
        </is>
      </c>
      <c r="F27" s="20" t="inlineStr">
        <is>
          <t>Mid-Market</t>
        </is>
      </c>
      <c r="G27" s="20" t="inlineStr">
        <is>
          <t>No</t>
        </is>
      </c>
      <c r="H27" s="16" t="n"/>
      <c r="I27" s="20" t="inlineStr">
        <is>
          <t>No</t>
        </is>
      </c>
      <c r="J27" s="16" t="n"/>
      <c r="K27" s="19" t="n">
        <v/>
      </c>
      <c r="L27" s="17">
        <f>IF(G27="Yes", H27-B27, "")</f>
        <v/>
      </c>
      <c r="M27" s="17">
        <f>IF(I27="Yes", J27-H27, "")</f>
        <v/>
      </c>
      <c r="N27" s="17">
        <f>IF(I27="Yes", J27-B27, "")</f>
        <v/>
      </c>
    </row>
    <row r="28">
      <c r="A28" s="25" t="inlineStr">
        <is>
          <t>LD-1298</t>
        </is>
      </c>
      <c r="B28" s="21" t="n">
        <v>46132</v>
      </c>
      <c r="C28" s="31" t="inlineStr">
        <is>
          <t>Omega LLC</t>
        </is>
      </c>
      <c r="D28" s="31" t="inlineStr">
        <is>
          <t>info@omegallc.com</t>
        </is>
      </c>
      <c r="E28" s="25" t="inlineStr">
        <is>
          <t>Google</t>
        </is>
      </c>
      <c r="F28" s="25" t="inlineStr">
        <is>
          <t>Mid-Market</t>
        </is>
      </c>
      <c r="G28" s="25" t="inlineStr">
        <is>
          <t>Yes</t>
        </is>
      </c>
      <c r="H28" s="21" t="n">
        <v>46135</v>
      </c>
      <c r="I28" s="25" t="inlineStr">
        <is>
          <t>Yes</t>
        </is>
      </c>
      <c r="J28" s="21" t="n">
        <v>46147</v>
      </c>
      <c r="K28" s="24" t="n">
        <v>1162</v>
      </c>
      <c r="L28" s="22">
        <f>IF(G28="Yes", H28-B28, "")</f>
        <v/>
      </c>
      <c r="M28" s="22">
        <f>IF(I28="Yes", J28-H28, "")</f>
        <v/>
      </c>
      <c r="N28" s="22">
        <f>IF(I28="Yes", J28-B28, "")</f>
        <v/>
      </c>
    </row>
    <row r="29">
      <c r="A29" s="20" t="inlineStr">
        <is>
          <t>LD-1467</t>
        </is>
      </c>
      <c r="B29" s="16" t="n">
        <v>46159</v>
      </c>
      <c r="C29" s="32" t="inlineStr">
        <is>
          <t>Acme Solutions</t>
        </is>
      </c>
      <c r="D29" s="32" t="inlineStr">
        <is>
          <t>info@acmesolutions.com</t>
        </is>
      </c>
      <c r="E29" s="20" t="inlineStr">
        <is>
          <t>Google</t>
        </is>
      </c>
      <c r="F29" s="20" t="inlineStr">
        <is>
          <t>Mid-Market</t>
        </is>
      </c>
      <c r="G29" s="20" t="inlineStr">
        <is>
          <t>No</t>
        </is>
      </c>
      <c r="H29" s="16" t="n"/>
      <c r="I29" s="20" t="inlineStr">
        <is>
          <t>No</t>
        </is>
      </c>
      <c r="J29" s="16" t="n"/>
      <c r="K29" s="19" t="n">
        <v/>
      </c>
      <c r="L29" s="17">
        <f>IF(G29="Yes", H29-B29, "")</f>
        <v/>
      </c>
      <c r="M29" s="17">
        <f>IF(I29="Yes", J29-H29, "")</f>
        <v/>
      </c>
      <c r="N29" s="17">
        <f>IF(I29="Yes", J29-B29, "")</f>
        <v/>
      </c>
    </row>
    <row r="30">
      <c r="A30" s="25" t="inlineStr">
        <is>
          <t>LD-1135</t>
        </is>
      </c>
      <c r="B30" s="21" t="n">
        <v>46125</v>
      </c>
      <c r="C30" s="31" t="inlineStr">
        <is>
          <t>Summit Inc</t>
        </is>
      </c>
      <c r="D30" s="31" t="inlineStr">
        <is>
          <t>info@summitinc.com</t>
        </is>
      </c>
      <c r="E30" s="25" t="inlineStr">
        <is>
          <t>Referral</t>
        </is>
      </c>
      <c r="F30" s="25" t="inlineStr">
        <is>
          <t>Enterprise</t>
        </is>
      </c>
      <c r="G30" s="25" t="inlineStr">
        <is>
          <t>Yes</t>
        </is>
      </c>
      <c r="H30" s="21" t="n">
        <v>46128</v>
      </c>
      <c r="I30" s="25" t="inlineStr">
        <is>
          <t>No</t>
        </is>
      </c>
      <c r="J30" s="21" t="n"/>
      <c r="K30" s="24" t="n">
        <v/>
      </c>
      <c r="L30" s="22">
        <f>IF(G30="Yes", H30-B30, "")</f>
        <v/>
      </c>
      <c r="M30" s="22">
        <f>IF(I30="Yes", J30-H30, "")</f>
        <v/>
      </c>
      <c r="N30" s="22">
        <f>IF(I30="Yes", J30-B30, "")</f>
        <v/>
      </c>
    </row>
    <row r="31">
      <c r="A31" s="20" t="inlineStr">
        <is>
          <t>LD-1220</t>
        </is>
      </c>
      <c r="B31" s="16" t="n">
        <v>46165</v>
      </c>
      <c r="C31" s="32" t="inlineStr">
        <is>
          <t>Zenith Partners</t>
        </is>
      </c>
      <c r="D31" s="32" t="inlineStr">
        <is>
          <t>info@zenithpartners.com</t>
        </is>
      </c>
      <c r="E31" s="20" t="inlineStr">
        <is>
          <t>LinkedIn</t>
        </is>
      </c>
      <c r="F31" s="20" t="inlineStr">
        <is>
          <t>SMB</t>
        </is>
      </c>
      <c r="G31" s="20" t="inlineStr">
        <is>
          <t>Yes</t>
        </is>
      </c>
      <c r="H31" s="16" t="n">
        <v>46174</v>
      </c>
      <c r="I31" s="20" t="inlineStr">
        <is>
          <t>No</t>
        </is>
      </c>
      <c r="J31" s="16" t="n"/>
      <c r="K31" s="19" t="n">
        <v/>
      </c>
      <c r="L31" s="17">
        <f>IF(G31="Yes", H31-B31, "")</f>
        <v/>
      </c>
      <c r="M31" s="17">
        <f>IF(I31="Yes", J31-H31, "")</f>
        <v/>
      </c>
      <c r="N31" s="17">
        <f>IF(I31="Yes", J31-B31, "")</f>
        <v/>
      </c>
    </row>
    <row r="32">
      <c r="A32" s="25" t="inlineStr">
        <is>
          <t>LD-1511</t>
        </is>
      </c>
      <c r="B32" s="21" t="n">
        <v>46093</v>
      </c>
      <c r="C32" s="31" t="inlineStr">
        <is>
          <t>Core Co</t>
        </is>
      </c>
      <c r="D32" s="31" t="inlineStr">
        <is>
          <t>info@coreco.com</t>
        </is>
      </c>
      <c r="E32" s="25" t="inlineStr">
        <is>
          <t>Organic / Direct</t>
        </is>
      </c>
      <c r="F32" s="25" t="inlineStr">
        <is>
          <t>Mid-Market</t>
        </is>
      </c>
      <c r="G32" s="25" t="inlineStr">
        <is>
          <t>No</t>
        </is>
      </c>
      <c r="H32" s="21" t="n"/>
      <c r="I32" s="25" t="inlineStr">
        <is>
          <t>No</t>
        </is>
      </c>
      <c r="J32" s="21" t="n"/>
      <c r="K32" s="24" t="n">
        <v/>
      </c>
      <c r="L32" s="22">
        <f>IF(G32="Yes", H32-B32, "")</f>
        <v/>
      </c>
      <c r="M32" s="22">
        <f>IF(I32="Yes", J32-H32, "")</f>
        <v/>
      </c>
      <c r="N32" s="22">
        <f>IF(I32="Yes", J32-B32, "")</f>
        <v/>
      </c>
    </row>
    <row r="33">
      <c r="A33" s="20" t="inlineStr">
        <is>
          <t>LD-1127</t>
        </is>
      </c>
      <c r="B33" s="16" t="n">
        <v>46155</v>
      </c>
      <c r="C33" s="32" t="inlineStr">
        <is>
          <t>Omega LLC</t>
        </is>
      </c>
      <c r="D33" s="32" t="inlineStr">
        <is>
          <t>info@omegallc.com</t>
        </is>
      </c>
      <c r="E33" s="20" t="inlineStr">
        <is>
          <t>LinkedIn</t>
        </is>
      </c>
      <c r="F33" s="20" t="inlineStr">
        <is>
          <t>SMB</t>
        </is>
      </c>
      <c r="G33" s="20" t="inlineStr">
        <is>
          <t>No</t>
        </is>
      </c>
      <c r="H33" s="16" t="n"/>
      <c r="I33" s="20" t="inlineStr">
        <is>
          <t>No</t>
        </is>
      </c>
      <c r="J33" s="16" t="n"/>
      <c r="K33" s="19" t="n">
        <v/>
      </c>
      <c r="L33" s="17">
        <f>IF(G33="Yes", H33-B33, "")</f>
        <v/>
      </c>
      <c r="M33" s="17">
        <f>IF(I33="Yes", J33-H33, "")</f>
        <v/>
      </c>
      <c r="N33" s="17">
        <f>IF(I33="Yes", J33-B33, "")</f>
        <v/>
      </c>
    </row>
    <row r="34">
      <c r="A34" s="25" t="inlineStr">
        <is>
          <t>LD-1066</t>
        </is>
      </c>
      <c r="B34" s="21" t="n">
        <v>46139</v>
      </c>
      <c r="C34" s="31" t="inlineStr">
        <is>
          <t>Nova Technologies</t>
        </is>
      </c>
      <c r="D34" s="31" t="inlineStr">
        <is>
          <t>info@novatechnologies.com</t>
        </is>
      </c>
      <c r="E34" s="25" t="inlineStr">
        <is>
          <t>LinkedIn</t>
        </is>
      </c>
      <c r="F34" s="25" t="inlineStr">
        <is>
          <t>Enterprise</t>
        </is>
      </c>
      <c r="G34" s="25" t="inlineStr">
        <is>
          <t>Yes</t>
        </is>
      </c>
      <c r="H34" s="21" t="n">
        <v>46147</v>
      </c>
      <c r="I34" s="25" t="inlineStr">
        <is>
          <t>No</t>
        </is>
      </c>
      <c r="J34" s="21" t="n"/>
      <c r="K34" s="24" t="n">
        <v/>
      </c>
      <c r="L34" s="22">
        <f>IF(G34="Yes", H34-B34, "")</f>
        <v/>
      </c>
      <c r="M34" s="22">
        <f>IF(I34="Yes", J34-H34, "")</f>
        <v/>
      </c>
      <c r="N34" s="22">
        <f>IF(I34="Yes", J34-B34, "")</f>
        <v/>
      </c>
    </row>
    <row r="35">
      <c r="A35" s="20" t="inlineStr">
        <is>
          <t>LD-1145</t>
        </is>
      </c>
      <c r="B35" s="16" t="n">
        <v>46093</v>
      </c>
      <c r="C35" s="32" t="inlineStr">
        <is>
          <t>Alpha Co</t>
        </is>
      </c>
      <c r="D35" s="32" t="inlineStr">
        <is>
          <t>info@alphaco.com</t>
        </is>
      </c>
      <c r="E35" s="20" t="inlineStr">
        <is>
          <t>Referral</t>
        </is>
      </c>
      <c r="F35" s="20" t="inlineStr">
        <is>
          <t>Enterprise</t>
        </is>
      </c>
      <c r="G35" s="20" t="inlineStr">
        <is>
          <t>Yes</t>
        </is>
      </c>
      <c r="H35" s="16" t="n">
        <v>46100</v>
      </c>
      <c r="I35" s="20" t="inlineStr">
        <is>
          <t>Yes</t>
        </is>
      </c>
      <c r="J35" s="16" t="n">
        <v>46115</v>
      </c>
      <c r="K35" s="19" t="n">
        <v>5746</v>
      </c>
      <c r="L35" s="17">
        <f>IF(G35="Yes", H35-B35, "")</f>
        <v/>
      </c>
      <c r="M35" s="17">
        <f>IF(I35="Yes", J35-H35, "")</f>
        <v/>
      </c>
      <c r="N35" s="17">
        <f>IF(I35="Yes", J35-B35, "")</f>
        <v/>
      </c>
    </row>
    <row r="36">
      <c r="A36" s="25" t="inlineStr">
        <is>
          <t>LD-1003</t>
        </is>
      </c>
      <c r="B36" s="21" t="n">
        <v>46139</v>
      </c>
      <c r="C36" s="31" t="inlineStr">
        <is>
          <t>Acme Group</t>
        </is>
      </c>
      <c r="D36" s="31" t="inlineStr">
        <is>
          <t>info@acmegroup.com</t>
        </is>
      </c>
      <c r="E36" s="25" t="inlineStr">
        <is>
          <t>Google</t>
        </is>
      </c>
      <c r="F36" s="25" t="inlineStr">
        <is>
          <t>SMB</t>
        </is>
      </c>
      <c r="G36" s="25" t="inlineStr">
        <is>
          <t>No</t>
        </is>
      </c>
      <c r="H36" s="21" t="n"/>
      <c r="I36" s="25" t="inlineStr">
        <is>
          <t>No</t>
        </is>
      </c>
      <c r="J36" s="21" t="n"/>
      <c r="K36" s="24" t="n">
        <v/>
      </c>
      <c r="L36" s="22">
        <f>IF(G36="Yes", H36-B36, "")</f>
        <v/>
      </c>
      <c r="M36" s="22">
        <f>IF(I36="Yes", J36-H36, "")</f>
        <v/>
      </c>
      <c r="N36" s="22">
        <f>IF(I36="Yes", J36-B36, "")</f>
        <v/>
      </c>
    </row>
    <row r="37">
      <c r="A37" s="20" t="inlineStr">
        <is>
          <t>LD-1034</t>
        </is>
      </c>
      <c r="B37" s="16" t="n">
        <v>46100</v>
      </c>
      <c r="C37" s="32" t="inlineStr">
        <is>
          <t>Apex Technologies</t>
        </is>
      </c>
      <c r="D37" s="32" t="inlineStr">
        <is>
          <t>info@apextechnologies.com</t>
        </is>
      </c>
      <c r="E37" s="20" t="inlineStr">
        <is>
          <t>Google</t>
        </is>
      </c>
      <c r="F37" s="20" t="inlineStr">
        <is>
          <t>Mid-Market</t>
        </is>
      </c>
      <c r="G37" s="20" t="inlineStr">
        <is>
          <t>Yes</t>
        </is>
      </c>
      <c r="H37" s="16" t="n">
        <v>46104</v>
      </c>
      <c r="I37" s="20" t="inlineStr">
        <is>
          <t>No</t>
        </is>
      </c>
      <c r="J37" s="16" t="n"/>
      <c r="K37" s="19" t="n">
        <v/>
      </c>
      <c r="L37" s="17">
        <f>IF(G37="Yes", H37-B37, "")</f>
        <v/>
      </c>
      <c r="M37" s="17">
        <f>IF(I37="Yes", J37-H37, "")</f>
        <v/>
      </c>
      <c r="N37" s="17">
        <f>IF(I37="Yes", J37-B37, "")</f>
        <v/>
      </c>
    </row>
    <row r="38">
      <c r="A38" s="25" t="inlineStr">
        <is>
          <t>LD-1319</t>
        </is>
      </c>
      <c r="B38" s="21" t="n">
        <v>46151</v>
      </c>
      <c r="C38" s="31" t="inlineStr">
        <is>
          <t>Shift Solutions</t>
        </is>
      </c>
      <c r="D38" s="31" t="inlineStr">
        <is>
          <t>info@shiftsolutions.com</t>
        </is>
      </c>
      <c r="E38" s="25" t="inlineStr">
        <is>
          <t>Cold Outreach</t>
        </is>
      </c>
      <c r="F38" s="25" t="inlineStr">
        <is>
          <t>Mid-Market</t>
        </is>
      </c>
      <c r="G38" s="25" t="inlineStr">
        <is>
          <t>No</t>
        </is>
      </c>
      <c r="H38" s="21" t="n"/>
      <c r="I38" s="25" t="inlineStr">
        <is>
          <t>No</t>
        </is>
      </c>
      <c r="J38" s="21" t="n"/>
      <c r="K38" s="24" t="n">
        <v/>
      </c>
      <c r="L38" s="22">
        <f>IF(G38="Yes", H38-B38, "")</f>
        <v/>
      </c>
      <c r="M38" s="22">
        <f>IF(I38="Yes", J38-H38, "")</f>
        <v/>
      </c>
      <c r="N38" s="22">
        <f>IF(I38="Yes", J38-B38, "")</f>
        <v/>
      </c>
    </row>
    <row r="39">
      <c r="A39" s="20" t="inlineStr">
        <is>
          <t>LD-1223</t>
        </is>
      </c>
      <c r="B39" s="16" t="n">
        <v>46117</v>
      </c>
      <c r="C39" s="32" t="inlineStr">
        <is>
          <t>Stellar Inc</t>
        </is>
      </c>
      <c r="D39" s="32" t="inlineStr">
        <is>
          <t>info@stellarinc.com</t>
        </is>
      </c>
      <c r="E39" s="20" t="inlineStr">
        <is>
          <t>Referral</t>
        </is>
      </c>
      <c r="F39" s="20" t="inlineStr">
        <is>
          <t>SMB</t>
        </is>
      </c>
      <c r="G39" s="20" t="inlineStr">
        <is>
          <t>Yes</t>
        </is>
      </c>
      <c r="H39" s="16" t="n">
        <v>46119</v>
      </c>
      <c r="I39" s="20" t="inlineStr">
        <is>
          <t>No</t>
        </is>
      </c>
      <c r="J39" s="16" t="n"/>
      <c r="K39" s="19" t="n">
        <v/>
      </c>
      <c r="L39" s="17">
        <f>IF(G39="Yes", H39-B39, "")</f>
        <v/>
      </c>
      <c r="M39" s="17">
        <f>IF(I39="Yes", J39-H39, "")</f>
        <v/>
      </c>
      <c r="N39" s="17">
        <f>IF(I39="Yes", J39-B39, "")</f>
        <v/>
      </c>
    </row>
    <row r="40">
      <c r="A40" s="25" t="inlineStr">
        <is>
          <t>LD-1115</t>
        </is>
      </c>
      <c r="B40" s="21" t="n">
        <v>46096</v>
      </c>
      <c r="C40" s="31" t="inlineStr">
        <is>
          <t>Quantum LLC</t>
        </is>
      </c>
      <c r="D40" s="31" t="inlineStr">
        <is>
          <t>info@quantumllc.com</t>
        </is>
      </c>
      <c r="E40" s="25" t="inlineStr">
        <is>
          <t>LinkedIn</t>
        </is>
      </c>
      <c r="F40" s="25" t="inlineStr">
        <is>
          <t>Mid-Market</t>
        </is>
      </c>
      <c r="G40" s="25" t="inlineStr">
        <is>
          <t>Yes</t>
        </is>
      </c>
      <c r="H40" s="21" t="n">
        <v>46098</v>
      </c>
      <c r="I40" s="25" t="inlineStr">
        <is>
          <t>No</t>
        </is>
      </c>
      <c r="J40" s="21" t="n"/>
      <c r="K40" s="24" t="n">
        <v/>
      </c>
      <c r="L40" s="22">
        <f>IF(G40="Yes", H40-B40, "")</f>
        <v/>
      </c>
      <c r="M40" s="22">
        <f>IF(I40="Yes", J40-H40, "")</f>
        <v/>
      </c>
      <c r="N40" s="22">
        <f>IF(I40="Yes", J40-B40, "")</f>
        <v/>
      </c>
    </row>
    <row r="41">
      <c r="A41" s="20" t="inlineStr">
        <is>
          <t>LD-1438</t>
        </is>
      </c>
      <c r="B41" s="16" t="n">
        <v>46102</v>
      </c>
      <c r="C41" s="32" t="inlineStr">
        <is>
          <t>Beacon Partners</t>
        </is>
      </c>
      <c r="D41" s="32" t="inlineStr">
        <is>
          <t>info@beaconpartners.com</t>
        </is>
      </c>
      <c r="E41" s="20" t="inlineStr">
        <is>
          <t>Organic / Direct</t>
        </is>
      </c>
      <c r="F41" s="20" t="inlineStr">
        <is>
          <t>Mid-Market</t>
        </is>
      </c>
      <c r="G41" s="20" t="inlineStr">
        <is>
          <t>Yes</t>
        </is>
      </c>
      <c r="H41" s="16" t="n">
        <v>46108</v>
      </c>
      <c r="I41" s="20" t="inlineStr">
        <is>
          <t>No</t>
        </is>
      </c>
      <c r="J41" s="16" t="n"/>
      <c r="K41" s="19" t="n">
        <v/>
      </c>
      <c r="L41" s="17">
        <f>IF(G41="Yes", H41-B41, "")</f>
        <v/>
      </c>
      <c r="M41" s="17">
        <f>IF(I41="Yes", J41-H41, "")</f>
        <v/>
      </c>
      <c r="N41" s="17">
        <f>IF(I41="Yes", J41-B41, "")</f>
        <v/>
      </c>
    </row>
    <row r="42">
      <c r="A42" s="25" t="inlineStr">
        <is>
          <t>LD-1285</t>
        </is>
      </c>
      <c r="B42" s="21" t="n">
        <v>46148</v>
      </c>
      <c r="C42" s="31" t="inlineStr">
        <is>
          <t>Alpha Technologies</t>
        </is>
      </c>
      <c r="D42" s="31" t="inlineStr">
        <is>
          <t>info@alphatechnologies.com</t>
        </is>
      </c>
      <c r="E42" s="25" t="inlineStr">
        <is>
          <t>Google</t>
        </is>
      </c>
      <c r="F42" s="25" t="inlineStr">
        <is>
          <t>Enterprise</t>
        </is>
      </c>
      <c r="G42" s="25" t="inlineStr">
        <is>
          <t>Yes</t>
        </is>
      </c>
      <c r="H42" s="21" t="n">
        <v>46154</v>
      </c>
      <c r="I42" s="25" t="inlineStr">
        <is>
          <t>No</t>
        </is>
      </c>
      <c r="J42" s="21" t="n"/>
      <c r="K42" s="24" t="n">
        <v/>
      </c>
      <c r="L42" s="22">
        <f>IF(G42="Yes", H42-B42, "")</f>
        <v/>
      </c>
      <c r="M42" s="22">
        <f>IF(I42="Yes", J42-H42, "")</f>
        <v/>
      </c>
      <c r="N42" s="22">
        <f>IF(I42="Yes", J42-B42, "")</f>
        <v/>
      </c>
    </row>
    <row r="43">
      <c r="A43" s="20" t="inlineStr">
        <is>
          <t>LD-1288</t>
        </is>
      </c>
      <c r="B43" s="16" t="n">
        <v>46082</v>
      </c>
      <c r="C43" s="32" t="inlineStr">
        <is>
          <t>Omega Technologies</t>
        </is>
      </c>
      <c r="D43" s="32" t="inlineStr">
        <is>
          <t>info@omegatechnologies.com</t>
        </is>
      </c>
      <c r="E43" s="20" t="inlineStr">
        <is>
          <t>LinkedIn</t>
        </is>
      </c>
      <c r="F43" s="20" t="inlineStr">
        <is>
          <t>Mid-Market</t>
        </is>
      </c>
      <c r="G43" s="20" t="inlineStr">
        <is>
          <t>Yes</t>
        </is>
      </c>
      <c r="H43" s="16" t="n">
        <v>46083</v>
      </c>
      <c r="I43" s="20" t="inlineStr">
        <is>
          <t>No</t>
        </is>
      </c>
      <c r="J43" s="16" t="n"/>
      <c r="K43" s="19" t="n">
        <v/>
      </c>
      <c r="L43" s="17">
        <f>IF(G43="Yes", H43-B43, "")</f>
        <v/>
      </c>
      <c r="M43" s="17">
        <f>IF(I43="Yes", J43-H43, "")</f>
        <v/>
      </c>
      <c r="N43" s="17">
        <f>IF(I43="Yes", J43-B43, "")</f>
        <v/>
      </c>
    </row>
    <row r="44">
      <c r="A44" s="25" t="inlineStr">
        <is>
          <t>LD-1470</t>
        </is>
      </c>
      <c r="B44" s="21" t="n">
        <v>46095</v>
      </c>
      <c r="C44" s="31" t="inlineStr">
        <is>
          <t>Shift Co</t>
        </is>
      </c>
      <c r="D44" s="31" t="inlineStr">
        <is>
          <t>info@shiftco.com</t>
        </is>
      </c>
      <c r="E44" s="25" t="inlineStr">
        <is>
          <t>Referral</t>
        </is>
      </c>
      <c r="F44" s="25" t="inlineStr">
        <is>
          <t>SMB</t>
        </is>
      </c>
      <c r="G44" s="25" t="inlineStr">
        <is>
          <t>Yes</t>
        </is>
      </c>
      <c r="H44" s="21" t="n">
        <v>46098</v>
      </c>
      <c r="I44" s="25" t="inlineStr">
        <is>
          <t>No</t>
        </is>
      </c>
      <c r="J44" s="21" t="n"/>
      <c r="K44" s="24" t="n">
        <v/>
      </c>
      <c r="L44" s="22">
        <f>IF(G44="Yes", H44-B44, "")</f>
        <v/>
      </c>
      <c r="M44" s="22">
        <f>IF(I44="Yes", J44-H44, "")</f>
        <v/>
      </c>
      <c r="N44" s="22">
        <f>IF(I44="Yes", J44-B44, "")</f>
        <v/>
      </c>
    </row>
    <row r="45">
      <c r="A45" s="20" t="inlineStr">
        <is>
          <t>LD-1105</t>
        </is>
      </c>
      <c r="B45" s="16" t="n">
        <v>46117</v>
      </c>
      <c r="C45" s="32" t="inlineStr">
        <is>
          <t>Flux Solutions</t>
        </is>
      </c>
      <c r="D45" s="32" t="inlineStr">
        <is>
          <t>info@fluxsolutions.com</t>
        </is>
      </c>
      <c r="E45" s="20" t="inlineStr">
        <is>
          <t>LinkedIn</t>
        </is>
      </c>
      <c r="F45" s="20" t="inlineStr">
        <is>
          <t>SMB</t>
        </is>
      </c>
      <c r="G45" s="20" t="inlineStr">
        <is>
          <t>No</t>
        </is>
      </c>
      <c r="H45" s="16" t="n"/>
      <c r="I45" s="20" t="inlineStr">
        <is>
          <t>No</t>
        </is>
      </c>
      <c r="J45" s="16" t="n"/>
      <c r="K45" s="19" t="n">
        <v/>
      </c>
      <c r="L45" s="17">
        <f>IF(G45="Yes", H45-B45, "")</f>
        <v/>
      </c>
      <c r="M45" s="17">
        <f>IF(I45="Yes", J45-H45, "")</f>
        <v/>
      </c>
      <c r="N45" s="17">
        <f>IF(I45="Yes", J45-B45, "")</f>
        <v/>
      </c>
    </row>
    <row r="46">
      <c r="A46" s="25" t="inlineStr">
        <is>
          <t>LD-1155</t>
        </is>
      </c>
      <c r="B46" s="21" t="n">
        <v>46137</v>
      </c>
      <c r="C46" s="31" t="inlineStr">
        <is>
          <t>Omega Co</t>
        </is>
      </c>
      <c r="D46" s="31" t="inlineStr">
        <is>
          <t>info@omegaco.com</t>
        </is>
      </c>
      <c r="E46" s="25" t="inlineStr">
        <is>
          <t>Referral</t>
        </is>
      </c>
      <c r="F46" s="25" t="inlineStr">
        <is>
          <t>Mid-Market</t>
        </is>
      </c>
      <c r="G46" s="25" t="inlineStr">
        <is>
          <t>No</t>
        </is>
      </c>
      <c r="H46" s="21" t="n"/>
      <c r="I46" s="25" t="inlineStr">
        <is>
          <t>No</t>
        </is>
      </c>
      <c r="J46" s="21" t="n"/>
      <c r="K46" s="24" t="n">
        <v/>
      </c>
      <c r="L46" s="22">
        <f>IF(G46="Yes", H46-B46, "")</f>
        <v/>
      </c>
      <c r="M46" s="22">
        <f>IF(I46="Yes", J46-H46, "")</f>
        <v/>
      </c>
      <c r="N46" s="22">
        <f>IF(I46="Yes", J46-B46, "")</f>
        <v/>
      </c>
    </row>
    <row r="47">
      <c r="A47" s="20" t="inlineStr">
        <is>
          <t>LD-1522</t>
        </is>
      </c>
      <c r="B47" s="16" t="n">
        <v>46131</v>
      </c>
      <c r="C47" s="32" t="inlineStr">
        <is>
          <t>Vortex Technologies</t>
        </is>
      </c>
      <c r="D47" s="32" t="inlineStr">
        <is>
          <t>info@vortextechnologies.com</t>
        </is>
      </c>
      <c r="E47" s="20" t="inlineStr">
        <is>
          <t>Google</t>
        </is>
      </c>
      <c r="F47" s="20" t="inlineStr">
        <is>
          <t>Mid-Market</t>
        </is>
      </c>
      <c r="G47" s="20" t="inlineStr">
        <is>
          <t>Yes</t>
        </is>
      </c>
      <c r="H47" s="16" t="n">
        <v>46139</v>
      </c>
      <c r="I47" s="20" t="inlineStr">
        <is>
          <t>No</t>
        </is>
      </c>
      <c r="J47" s="16" t="n"/>
      <c r="K47" s="19" t="n">
        <v/>
      </c>
      <c r="L47" s="17">
        <f>IF(G47="Yes", H47-B47, "")</f>
        <v/>
      </c>
      <c r="M47" s="17">
        <f>IF(I47="Yes", J47-H47, "")</f>
        <v/>
      </c>
      <c r="N47" s="17">
        <f>IF(I47="Yes", J47-B47, "")</f>
        <v/>
      </c>
    </row>
    <row r="48">
      <c r="A48" s="25" t="inlineStr">
        <is>
          <t>LD-1279</t>
        </is>
      </c>
      <c r="B48" s="21" t="n">
        <v>46166</v>
      </c>
      <c r="C48" s="31" t="inlineStr">
        <is>
          <t>Vortex Inc</t>
        </is>
      </c>
      <c r="D48" s="31" t="inlineStr">
        <is>
          <t>info@vortexinc.com</t>
        </is>
      </c>
      <c r="E48" s="25" t="inlineStr">
        <is>
          <t>Google</t>
        </is>
      </c>
      <c r="F48" s="25" t="inlineStr">
        <is>
          <t>Mid-Market</t>
        </is>
      </c>
      <c r="G48" s="25" t="inlineStr">
        <is>
          <t>No</t>
        </is>
      </c>
      <c r="H48" s="21" t="n"/>
      <c r="I48" s="25" t="inlineStr">
        <is>
          <t>No</t>
        </is>
      </c>
      <c r="J48" s="21" t="n"/>
      <c r="K48" s="24" t="n">
        <v/>
      </c>
      <c r="L48" s="22">
        <f>IF(G48="Yes", H48-B48, "")</f>
        <v/>
      </c>
      <c r="M48" s="22">
        <f>IF(I48="Yes", J48-H48, "")</f>
        <v/>
      </c>
      <c r="N48" s="22">
        <f>IF(I48="Yes", J48-B48, "")</f>
        <v/>
      </c>
    </row>
    <row r="49">
      <c r="A49" s="20" t="inlineStr">
        <is>
          <t>LD-1435</t>
        </is>
      </c>
      <c r="B49" s="16" t="n">
        <v>46129</v>
      </c>
      <c r="C49" s="32" t="inlineStr">
        <is>
          <t>Omega Technologies</t>
        </is>
      </c>
      <c r="D49" s="32" t="inlineStr">
        <is>
          <t>info@omegatechnologies.com</t>
        </is>
      </c>
      <c r="E49" s="20" t="inlineStr">
        <is>
          <t>Cold Outreach</t>
        </is>
      </c>
      <c r="F49" s="20" t="inlineStr">
        <is>
          <t>Enterprise</t>
        </is>
      </c>
      <c r="G49" s="20" t="inlineStr">
        <is>
          <t>Yes</t>
        </is>
      </c>
      <c r="H49" s="16" t="n">
        <v>46131</v>
      </c>
      <c r="I49" s="20" t="inlineStr">
        <is>
          <t>No</t>
        </is>
      </c>
      <c r="J49" s="16" t="n"/>
      <c r="K49" s="19" t="n">
        <v/>
      </c>
      <c r="L49" s="17">
        <f>IF(G49="Yes", H49-B49, "")</f>
        <v/>
      </c>
      <c r="M49" s="17">
        <f>IF(I49="Yes", J49-H49, "")</f>
        <v/>
      </c>
      <c r="N49" s="17">
        <f>IF(I49="Yes", J49-B49, "")</f>
        <v/>
      </c>
    </row>
    <row r="50">
      <c r="A50" s="25" t="inlineStr">
        <is>
          <t>LD-1479</t>
        </is>
      </c>
      <c r="B50" s="21" t="n">
        <v>46132</v>
      </c>
      <c r="C50" s="31" t="inlineStr">
        <is>
          <t>Cloud Corp</t>
        </is>
      </c>
      <c r="D50" s="31" t="inlineStr">
        <is>
          <t>info@cloudcorp.com</t>
        </is>
      </c>
      <c r="E50" s="25" t="inlineStr">
        <is>
          <t>Referral</t>
        </is>
      </c>
      <c r="F50" s="25" t="inlineStr">
        <is>
          <t>SMB</t>
        </is>
      </c>
      <c r="G50" s="25" t="inlineStr">
        <is>
          <t>Yes</t>
        </is>
      </c>
      <c r="H50" s="21" t="n">
        <v>46134</v>
      </c>
      <c r="I50" s="25" t="inlineStr">
        <is>
          <t>No</t>
        </is>
      </c>
      <c r="J50" s="21" t="n"/>
      <c r="K50" s="24" t="n">
        <v/>
      </c>
      <c r="L50" s="22">
        <f>IF(G50="Yes", H50-B50, "")</f>
        <v/>
      </c>
      <c r="M50" s="22">
        <f>IF(I50="Yes", J50-H50, "")</f>
        <v/>
      </c>
      <c r="N50" s="22">
        <f>IF(I50="Yes", J50-B50, "")</f>
        <v/>
      </c>
    </row>
    <row r="51">
      <c r="A51" s="20" t="inlineStr">
        <is>
          <t>LD-1237</t>
        </is>
      </c>
      <c r="B51" s="16" t="n">
        <v>46145</v>
      </c>
      <c r="C51" s="32" t="inlineStr">
        <is>
          <t>Quantum Partners</t>
        </is>
      </c>
      <c r="D51" s="32" t="inlineStr">
        <is>
          <t>info@quantumpartners.com</t>
        </is>
      </c>
      <c r="E51" s="20" t="inlineStr">
        <is>
          <t>Referral</t>
        </is>
      </c>
      <c r="F51" s="20" t="inlineStr">
        <is>
          <t>Mid-Market</t>
        </is>
      </c>
      <c r="G51" s="20" t="inlineStr">
        <is>
          <t>No</t>
        </is>
      </c>
      <c r="H51" s="16" t="n"/>
      <c r="I51" s="20" t="inlineStr">
        <is>
          <t>No</t>
        </is>
      </c>
      <c r="J51" s="16" t="n"/>
      <c r="K51" s="19" t="n">
        <v/>
      </c>
      <c r="L51" s="17">
        <f>IF(G51="Yes", H51-B51, "")</f>
        <v/>
      </c>
      <c r="M51" s="17">
        <f>IF(I51="Yes", J51-H51, "")</f>
        <v/>
      </c>
      <c r="N51" s="17">
        <f>IF(I51="Yes", J51-B51, "")</f>
        <v/>
      </c>
    </row>
    <row r="52">
      <c r="A52" s="25" t="inlineStr">
        <is>
          <t>LD-1498</t>
        </is>
      </c>
      <c r="B52" s="21" t="n">
        <v>46134</v>
      </c>
      <c r="C52" s="31" t="inlineStr">
        <is>
          <t>Quantum Solutions</t>
        </is>
      </c>
      <c r="D52" s="31" t="inlineStr">
        <is>
          <t>info@quantumsolutions.com</t>
        </is>
      </c>
      <c r="E52" s="25" t="inlineStr">
        <is>
          <t>Referral</t>
        </is>
      </c>
      <c r="F52" s="25" t="inlineStr">
        <is>
          <t>Enterprise</t>
        </is>
      </c>
      <c r="G52" s="25" t="inlineStr">
        <is>
          <t>Yes</t>
        </is>
      </c>
      <c r="H52" s="21" t="n">
        <v>46140</v>
      </c>
      <c r="I52" s="25" t="inlineStr">
        <is>
          <t>No</t>
        </is>
      </c>
      <c r="J52" s="21" t="n"/>
      <c r="K52" s="24" t="n">
        <v/>
      </c>
      <c r="L52" s="22">
        <f>IF(G52="Yes", H52-B52, "")</f>
        <v/>
      </c>
      <c r="M52" s="22">
        <f>IF(I52="Yes", J52-H52, "")</f>
        <v/>
      </c>
      <c r="N52" s="22">
        <f>IF(I52="Yes", J52-B52, "")</f>
        <v/>
      </c>
    </row>
    <row r="53">
      <c r="A53" s="20" t="inlineStr">
        <is>
          <t>LD-1241</t>
        </is>
      </c>
      <c r="B53" s="16" t="n">
        <v>46138</v>
      </c>
      <c r="C53" s="32" t="inlineStr">
        <is>
          <t>Nova LLC</t>
        </is>
      </c>
      <c r="D53" s="32" t="inlineStr">
        <is>
          <t>info@novallc.com</t>
        </is>
      </c>
      <c r="E53" s="20" t="inlineStr">
        <is>
          <t>LinkedIn</t>
        </is>
      </c>
      <c r="F53" s="20" t="inlineStr">
        <is>
          <t>SMB</t>
        </is>
      </c>
      <c r="G53" s="20" t="inlineStr">
        <is>
          <t>Yes</t>
        </is>
      </c>
      <c r="H53" s="16" t="n">
        <v>46141</v>
      </c>
      <c r="I53" s="20" t="inlineStr">
        <is>
          <t>No</t>
        </is>
      </c>
      <c r="J53" s="16" t="n"/>
      <c r="K53" s="19" t="n">
        <v/>
      </c>
      <c r="L53" s="17">
        <f>IF(G53="Yes", H53-B53, "")</f>
        <v/>
      </c>
      <c r="M53" s="17">
        <f>IF(I53="Yes", J53-H53, "")</f>
        <v/>
      </c>
      <c r="N53" s="17">
        <f>IF(I53="Yes", J53-B53, "")</f>
        <v/>
      </c>
    </row>
    <row r="54">
      <c r="A54" s="25" t="inlineStr">
        <is>
          <t>LD-1230</t>
        </is>
      </c>
      <c r="B54" s="21" t="n">
        <v>46146</v>
      </c>
      <c r="C54" s="31" t="inlineStr">
        <is>
          <t>Flux Inc</t>
        </is>
      </c>
      <c r="D54" s="31" t="inlineStr">
        <is>
          <t>info@fluxinc.com</t>
        </is>
      </c>
      <c r="E54" s="25" t="inlineStr">
        <is>
          <t>Google</t>
        </is>
      </c>
      <c r="F54" s="25" t="inlineStr">
        <is>
          <t>Mid-Market</t>
        </is>
      </c>
      <c r="G54" s="25" t="inlineStr">
        <is>
          <t>Yes</t>
        </is>
      </c>
      <c r="H54" s="21" t="n">
        <v>46156</v>
      </c>
      <c r="I54" s="25" t="inlineStr">
        <is>
          <t>No</t>
        </is>
      </c>
      <c r="J54" s="21" t="n"/>
      <c r="K54" s="24" t="n">
        <v/>
      </c>
      <c r="L54" s="22">
        <f>IF(G54="Yes", H54-B54, "")</f>
        <v/>
      </c>
      <c r="M54" s="22">
        <f>IF(I54="Yes", J54-H54, "")</f>
        <v/>
      </c>
      <c r="N54" s="22">
        <f>IF(I54="Yes", J54-B54, "")</f>
        <v/>
      </c>
    </row>
    <row r="55">
      <c r="A55" s="20" t="inlineStr">
        <is>
          <t>LD-1261</t>
        </is>
      </c>
      <c r="B55" s="16" t="n">
        <v>46134</v>
      </c>
      <c r="C55" s="32" t="inlineStr">
        <is>
          <t>Sovereign Group</t>
        </is>
      </c>
      <c r="D55" s="32" t="inlineStr">
        <is>
          <t>info@sovereigngroup.com</t>
        </is>
      </c>
      <c r="E55" s="20" t="inlineStr">
        <is>
          <t>LinkedIn</t>
        </is>
      </c>
      <c r="F55" s="20" t="inlineStr">
        <is>
          <t>Enterprise</t>
        </is>
      </c>
      <c r="G55" s="20" t="inlineStr">
        <is>
          <t>Yes</t>
        </is>
      </c>
      <c r="H55" s="16" t="n">
        <v>46137</v>
      </c>
      <c r="I55" s="20" t="inlineStr">
        <is>
          <t>Yes</t>
        </is>
      </c>
      <c r="J55" s="16" t="n">
        <v>46155</v>
      </c>
      <c r="K55" s="19" t="n">
        <v>3618</v>
      </c>
      <c r="L55" s="17">
        <f>IF(G55="Yes", H55-B55, "")</f>
        <v/>
      </c>
      <c r="M55" s="17">
        <f>IF(I55="Yes", J55-H55, "")</f>
        <v/>
      </c>
      <c r="N55" s="17">
        <f>IF(I55="Yes", J55-B55, "")</f>
        <v/>
      </c>
    </row>
    <row r="56">
      <c r="A56" s="25" t="inlineStr">
        <is>
          <t>LD-1266</t>
        </is>
      </c>
      <c r="B56" s="21" t="n">
        <v>46165</v>
      </c>
      <c r="C56" s="31" t="inlineStr">
        <is>
          <t>Beacon Corp</t>
        </is>
      </c>
      <c r="D56" s="31" t="inlineStr">
        <is>
          <t>info@beaconcorp.com</t>
        </is>
      </c>
      <c r="E56" s="25" t="inlineStr">
        <is>
          <t>LinkedIn</t>
        </is>
      </c>
      <c r="F56" s="25" t="inlineStr">
        <is>
          <t>Enterprise</t>
        </is>
      </c>
      <c r="G56" s="25" t="inlineStr">
        <is>
          <t>No</t>
        </is>
      </c>
      <c r="H56" s="21" t="n"/>
      <c r="I56" s="25" t="inlineStr">
        <is>
          <t>No</t>
        </is>
      </c>
      <c r="J56" s="21" t="n"/>
      <c r="K56" s="24" t="n">
        <v/>
      </c>
      <c r="L56" s="22">
        <f>IF(G56="Yes", H56-B56, "")</f>
        <v/>
      </c>
      <c r="M56" s="22">
        <f>IF(I56="Yes", J56-H56, "")</f>
        <v/>
      </c>
      <c r="N56" s="22">
        <f>IF(I56="Yes", J56-B56, "")</f>
        <v/>
      </c>
    </row>
    <row r="57">
      <c r="A57" s="20" t="inlineStr">
        <is>
          <t>LD-1170</t>
        </is>
      </c>
      <c r="B57" s="16" t="n">
        <v>46154</v>
      </c>
      <c r="C57" s="32" t="inlineStr">
        <is>
          <t>Acme Corp</t>
        </is>
      </c>
      <c r="D57" s="32" t="inlineStr">
        <is>
          <t>info@acmecorp.com</t>
        </is>
      </c>
      <c r="E57" s="20" t="inlineStr">
        <is>
          <t>Cold Outreach</t>
        </is>
      </c>
      <c r="F57" s="20" t="inlineStr">
        <is>
          <t>Mid-Market</t>
        </is>
      </c>
      <c r="G57" s="20" t="inlineStr">
        <is>
          <t>No</t>
        </is>
      </c>
      <c r="H57" s="16" t="n"/>
      <c r="I57" s="20" t="inlineStr">
        <is>
          <t>No</t>
        </is>
      </c>
      <c r="J57" s="16" t="n"/>
      <c r="K57" s="19" t="n">
        <v/>
      </c>
      <c r="L57" s="17">
        <f>IF(G57="Yes", H57-B57, "")</f>
        <v/>
      </c>
      <c r="M57" s="17">
        <f>IF(I57="Yes", J57-H57, "")</f>
        <v/>
      </c>
      <c r="N57" s="17">
        <f>IF(I57="Yes", J57-B57, "")</f>
        <v/>
      </c>
    </row>
    <row r="58">
      <c r="A58" s="25" t="inlineStr">
        <is>
          <t>LD-1534</t>
        </is>
      </c>
      <c r="B58" s="21" t="n">
        <v>46118</v>
      </c>
      <c r="C58" s="31" t="inlineStr">
        <is>
          <t>Bold Group</t>
        </is>
      </c>
      <c r="D58" s="31" t="inlineStr">
        <is>
          <t>info@boldgroup.com</t>
        </is>
      </c>
      <c r="E58" s="25" t="inlineStr">
        <is>
          <t>Organic / Direct</t>
        </is>
      </c>
      <c r="F58" s="25" t="inlineStr">
        <is>
          <t>SMB</t>
        </is>
      </c>
      <c r="G58" s="25" t="inlineStr">
        <is>
          <t>Yes</t>
        </is>
      </c>
      <c r="H58" s="21" t="n">
        <v>46120</v>
      </c>
      <c r="I58" s="25" t="inlineStr">
        <is>
          <t>No</t>
        </is>
      </c>
      <c r="J58" s="21" t="n"/>
      <c r="K58" s="24" t="n">
        <v/>
      </c>
      <c r="L58" s="22">
        <f>IF(G58="Yes", H58-B58, "")</f>
        <v/>
      </c>
      <c r="M58" s="22">
        <f>IF(I58="Yes", J58-H58, "")</f>
        <v/>
      </c>
      <c r="N58" s="22">
        <f>IF(I58="Yes", J58-B58, "")</f>
        <v/>
      </c>
    </row>
    <row r="59">
      <c r="A59" s="20" t="inlineStr">
        <is>
          <t>LD-1238</t>
        </is>
      </c>
      <c r="B59" s="16" t="n">
        <v>46130</v>
      </c>
      <c r="C59" s="32" t="inlineStr">
        <is>
          <t>Core Partners</t>
        </is>
      </c>
      <c r="D59" s="32" t="inlineStr">
        <is>
          <t>info@corepartners.com</t>
        </is>
      </c>
      <c r="E59" s="20" t="inlineStr">
        <is>
          <t>Webinar</t>
        </is>
      </c>
      <c r="F59" s="20" t="inlineStr">
        <is>
          <t>Enterprise</t>
        </is>
      </c>
      <c r="G59" s="20" t="inlineStr">
        <is>
          <t>Yes</t>
        </is>
      </c>
      <c r="H59" s="16" t="n">
        <v>46136</v>
      </c>
      <c r="I59" s="20" t="inlineStr">
        <is>
          <t>No</t>
        </is>
      </c>
      <c r="J59" s="16" t="n"/>
      <c r="K59" s="19" t="n">
        <v/>
      </c>
      <c r="L59" s="17">
        <f>IF(G59="Yes", H59-B59, "")</f>
        <v/>
      </c>
      <c r="M59" s="17">
        <f>IF(I59="Yes", J59-H59, "")</f>
        <v/>
      </c>
      <c r="N59" s="17">
        <f>IF(I59="Yes", J59-B59, "")</f>
        <v/>
      </c>
    </row>
    <row r="60">
      <c r="A60" s="25" t="inlineStr">
        <is>
          <t>LD-1272</t>
        </is>
      </c>
      <c r="B60" s="21" t="n">
        <v>46126</v>
      </c>
      <c r="C60" s="31" t="inlineStr">
        <is>
          <t>Sovereign Solutions</t>
        </is>
      </c>
      <c r="D60" s="31" t="inlineStr">
        <is>
          <t>info@sovereignsolutions.com</t>
        </is>
      </c>
      <c r="E60" s="25" t="inlineStr">
        <is>
          <t>Cold Outreach</t>
        </is>
      </c>
      <c r="F60" s="25" t="inlineStr">
        <is>
          <t>Enterprise</t>
        </is>
      </c>
      <c r="G60" s="25" t="inlineStr">
        <is>
          <t>Yes</t>
        </is>
      </c>
      <c r="H60" s="21" t="n">
        <v>46136</v>
      </c>
      <c r="I60" s="25" t="inlineStr">
        <is>
          <t>No</t>
        </is>
      </c>
      <c r="J60" s="21" t="n"/>
      <c r="K60" s="24" t="n">
        <v/>
      </c>
      <c r="L60" s="22">
        <f>IF(G60="Yes", H60-B60, "")</f>
        <v/>
      </c>
      <c r="M60" s="22">
        <f>IF(I60="Yes", J60-H60, "")</f>
        <v/>
      </c>
      <c r="N60" s="22">
        <f>IF(I60="Yes", J60-B60, "")</f>
        <v/>
      </c>
    </row>
    <row r="61">
      <c r="A61" s="20" t="inlineStr">
        <is>
          <t>LD-1263</t>
        </is>
      </c>
      <c r="B61" s="16" t="n">
        <v>46123</v>
      </c>
      <c r="C61" s="32" t="inlineStr">
        <is>
          <t>Nova Partners</t>
        </is>
      </c>
      <c r="D61" s="32" t="inlineStr">
        <is>
          <t>info@novapartners.com</t>
        </is>
      </c>
      <c r="E61" s="20" t="inlineStr">
        <is>
          <t>Google</t>
        </is>
      </c>
      <c r="F61" s="20" t="inlineStr">
        <is>
          <t>Enterprise</t>
        </is>
      </c>
      <c r="G61" s="20" t="inlineStr">
        <is>
          <t>Yes</t>
        </is>
      </c>
      <c r="H61" s="16" t="n">
        <v>46130</v>
      </c>
      <c r="I61" s="20" t="inlineStr">
        <is>
          <t>No</t>
        </is>
      </c>
      <c r="J61" s="16" t="n"/>
      <c r="K61" s="19" t="n">
        <v/>
      </c>
      <c r="L61" s="17">
        <f>IF(G61="Yes", H61-B61, "")</f>
        <v/>
      </c>
      <c r="M61" s="17">
        <f>IF(I61="Yes", J61-H61, "")</f>
        <v/>
      </c>
      <c r="N61" s="17">
        <f>IF(I61="Yes", J61-B61, "")</f>
        <v/>
      </c>
    </row>
    <row r="62">
      <c r="A62" s="25" t="inlineStr">
        <is>
          <t>LD-1358</t>
        </is>
      </c>
      <c r="B62" s="21" t="n">
        <v>46089</v>
      </c>
      <c r="C62" s="31" t="inlineStr">
        <is>
          <t>Helix Partners</t>
        </is>
      </c>
      <c r="D62" s="31" t="inlineStr">
        <is>
          <t>info@helixpartners.com</t>
        </is>
      </c>
      <c r="E62" s="25" t="inlineStr">
        <is>
          <t>Google</t>
        </is>
      </c>
      <c r="F62" s="25" t="inlineStr">
        <is>
          <t>Enterprise</t>
        </is>
      </c>
      <c r="G62" s="25" t="inlineStr">
        <is>
          <t>Yes</t>
        </is>
      </c>
      <c r="H62" s="21" t="n">
        <v>46095</v>
      </c>
      <c r="I62" s="25" t="inlineStr">
        <is>
          <t>No</t>
        </is>
      </c>
      <c r="J62" s="21" t="n"/>
      <c r="K62" s="24" t="n">
        <v/>
      </c>
      <c r="L62" s="22">
        <f>IF(G62="Yes", H62-B62, "")</f>
        <v/>
      </c>
      <c r="M62" s="22">
        <f>IF(I62="Yes", J62-H62, "")</f>
        <v/>
      </c>
      <c r="N62" s="22">
        <f>IF(I62="Yes", J62-B62, "")</f>
        <v/>
      </c>
    </row>
    <row r="63">
      <c r="A63" s="20" t="inlineStr">
        <is>
          <t>LD-1411</t>
        </is>
      </c>
      <c r="B63" s="16" t="n">
        <v>46115</v>
      </c>
      <c r="C63" s="32" t="inlineStr">
        <is>
          <t>Core Partners</t>
        </is>
      </c>
      <c r="D63" s="32" t="inlineStr">
        <is>
          <t>info@corepartners.com</t>
        </is>
      </c>
      <c r="E63" s="20" t="inlineStr">
        <is>
          <t>Referral</t>
        </is>
      </c>
      <c r="F63" s="20" t="inlineStr">
        <is>
          <t>Mid-Market</t>
        </is>
      </c>
      <c r="G63" s="20" t="inlineStr">
        <is>
          <t>Yes</t>
        </is>
      </c>
      <c r="H63" s="16" t="n">
        <v>46116</v>
      </c>
      <c r="I63" s="20" t="inlineStr">
        <is>
          <t>Yes</t>
        </is>
      </c>
      <c r="J63" s="16" t="n">
        <v>46134</v>
      </c>
      <c r="K63" s="19" t="n">
        <v>1346</v>
      </c>
      <c r="L63" s="17">
        <f>IF(G63="Yes", H63-B63, "")</f>
        <v/>
      </c>
      <c r="M63" s="17">
        <f>IF(I63="Yes", J63-H63, "")</f>
        <v/>
      </c>
      <c r="N63" s="17">
        <f>IF(I63="Yes", J63-B63, "")</f>
        <v/>
      </c>
    </row>
    <row r="64">
      <c r="A64" s="25" t="inlineStr">
        <is>
          <t>LD-1466</t>
        </is>
      </c>
      <c r="B64" s="21" t="n">
        <v>46095</v>
      </c>
      <c r="C64" s="31" t="inlineStr">
        <is>
          <t>Vortex Inc</t>
        </is>
      </c>
      <c r="D64" s="31" t="inlineStr">
        <is>
          <t>info@vortexinc.com</t>
        </is>
      </c>
      <c r="E64" s="25" t="inlineStr">
        <is>
          <t>Webinar</t>
        </is>
      </c>
      <c r="F64" s="25" t="inlineStr">
        <is>
          <t>Mid-Market</t>
        </is>
      </c>
      <c r="G64" s="25" t="inlineStr">
        <is>
          <t>Yes</t>
        </is>
      </c>
      <c r="H64" s="21" t="n">
        <v>46105</v>
      </c>
      <c r="I64" s="25" t="inlineStr">
        <is>
          <t>Yes</t>
        </is>
      </c>
      <c r="J64" s="21" t="n">
        <v>46121</v>
      </c>
      <c r="K64" s="24" t="n">
        <v>726</v>
      </c>
      <c r="L64" s="22">
        <f>IF(G64="Yes", H64-B64, "")</f>
        <v/>
      </c>
      <c r="M64" s="22">
        <f>IF(I64="Yes", J64-H64, "")</f>
        <v/>
      </c>
      <c r="N64" s="22">
        <f>IF(I64="Yes", J64-B64, "")</f>
        <v/>
      </c>
    </row>
    <row r="65">
      <c r="A65" s="20" t="inlineStr">
        <is>
          <t>LD-1316</t>
        </is>
      </c>
      <c r="B65" s="16" t="n">
        <v>46101</v>
      </c>
      <c r="C65" s="32" t="inlineStr">
        <is>
          <t>Acme LLC</t>
        </is>
      </c>
      <c r="D65" s="32" t="inlineStr">
        <is>
          <t>info@acmellc.com</t>
        </is>
      </c>
      <c r="E65" s="20" t="inlineStr">
        <is>
          <t>Webinar</t>
        </is>
      </c>
      <c r="F65" s="20" t="inlineStr">
        <is>
          <t>Enterprise</t>
        </is>
      </c>
      <c r="G65" s="20" t="inlineStr">
        <is>
          <t>Yes</t>
        </is>
      </c>
      <c r="H65" s="16" t="n">
        <v>46103</v>
      </c>
      <c r="I65" s="20" t="inlineStr">
        <is>
          <t>Yes</t>
        </is>
      </c>
      <c r="J65" s="16" t="n">
        <v>46113</v>
      </c>
      <c r="K65" s="19" t="n">
        <v>5390</v>
      </c>
      <c r="L65" s="17">
        <f>IF(G65="Yes", H65-B65, "")</f>
        <v/>
      </c>
      <c r="M65" s="17">
        <f>IF(I65="Yes", J65-H65, "")</f>
        <v/>
      </c>
      <c r="N65" s="17">
        <f>IF(I65="Yes", J65-B65, "")</f>
        <v/>
      </c>
    </row>
    <row r="66">
      <c r="A66" s="25" t="inlineStr">
        <is>
          <t>LD-1017</t>
        </is>
      </c>
      <c r="B66" s="21" t="n">
        <v>46121</v>
      </c>
      <c r="C66" s="31" t="inlineStr">
        <is>
          <t>Flux Partners</t>
        </is>
      </c>
      <c r="D66" s="31" t="inlineStr">
        <is>
          <t>info@fluxpartners.com</t>
        </is>
      </c>
      <c r="E66" s="25" t="inlineStr">
        <is>
          <t>LinkedIn</t>
        </is>
      </c>
      <c r="F66" s="25" t="inlineStr">
        <is>
          <t>SMB</t>
        </is>
      </c>
      <c r="G66" s="25" t="inlineStr">
        <is>
          <t>Yes</t>
        </is>
      </c>
      <c r="H66" s="21" t="n">
        <v>46122</v>
      </c>
      <c r="I66" s="25" t="inlineStr">
        <is>
          <t>No</t>
        </is>
      </c>
      <c r="J66" s="21" t="n"/>
      <c r="K66" s="24" t="n">
        <v/>
      </c>
      <c r="L66" s="22">
        <f>IF(G66="Yes", H66-B66, "")</f>
        <v/>
      </c>
      <c r="M66" s="22">
        <f>IF(I66="Yes", J66-H66, "")</f>
        <v/>
      </c>
      <c r="N66" s="22">
        <f>IF(I66="Yes", J66-B66, "")</f>
        <v/>
      </c>
    </row>
    <row r="67">
      <c r="A67" s="20" t="inlineStr">
        <is>
          <t>LD-1512</t>
        </is>
      </c>
      <c r="B67" s="16" t="n">
        <v>46090</v>
      </c>
      <c r="C67" s="32" t="inlineStr">
        <is>
          <t>Sovereign Corp</t>
        </is>
      </c>
      <c r="D67" s="32" t="inlineStr">
        <is>
          <t>info@sovereigncorp.com</t>
        </is>
      </c>
      <c r="E67" s="20" t="inlineStr">
        <is>
          <t>Cold Outreach</t>
        </is>
      </c>
      <c r="F67" s="20" t="inlineStr">
        <is>
          <t>Mid-Market</t>
        </is>
      </c>
      <c r="G67" s="20" t="inlineStr">
        <is>
          <t>Yes</t>
        </is>
      </c>
      <c r="H67" s="16" t="n">
        <v>46094</v>
      </c>
      <c r="I67" s="20" t="inlineStr">
        <is>
          <t>No</t>
        </is>
      </c>
      <c r="J67" s="16" t="n"/>
      <c r="K67" s="19" t="n">
        <v/>
      </c>
      <c r="L67" s="17">
        <f>IF(G67="Yes", H67-B67, "")</f>
        <v/>
      </c>
      <c r="M67" s="17">
        <f>IF(I67="Yes", J67-H67, "")</f>
        <v/>
      </c>
      <c r="N67" s="17">
        <f>IF(I67="Yes", J67-B67, "")</f>
        <v/>
      </c>
    </row>
    <row r="68">
      <c r="A68" s="25" t="inlineStr">
        <is>
          <t>LD-1475</t>
        </is>
      </c>
      <c r="B68" s="21" t="n">
        <v>46115</v>
      </c>
      <c r="C68" s="31" t="inlineStr">
        <is>
          <t>Shift Solutions</t>
        </is>
      </c>
      <c r="D68" s="31" t="inlineStr">
        <is>
          <t>info@shiftsolutions.com</t>
        </is>
      </c>
      <c r="E68" s="25" t="inlineStr">
        <is>
          <t>Google</t>
        </is>
      </c>
      <c r="F68" s="25" t="inlineStr">
        <is>
          <t>Enterprise</t>
        </is>
      </c>
      <c r="G68" s="25" t="inlineStr">
        <is>
          <t>Yes</t>
        </is>
      </c>
      <c r="H68" s="21" t="n">
        <v>46119</v>
      </c>
      <c r="I68" s="25" t="inlineStr">
        <is>
          <t>No</t>
        </is>
      </c>
      <c r="J68" s="21" t="n"/>
      <c r="K68" s="24" t="n">
        <v/>
      </c>
      <c r="L68" s="22">
        <f>IF(G68="Yes", H68-B68, "")</f>
        <v/>
      </c>
      <c r="M68" s="22">
        <f>IF(I68="Yes", J68-H68, "")</f>
        <v/>
      </c>
      <c r="N68" s="22">
        <f>IF(I68="Yes", J68-B68, "")</f>
        <v/>
      </c>
    </row>
    <row r="69">
      <c r="A69" s="20" t="inlineStr">
        <is>
          <t>LD-1518</t>
        </is>
      </c>
      <c r="B69" s="16" t="n">
        <v>46125</v>
      </c>
      <c r="C69" s="32" t="inlineStr">
        <is>
          <t>Shift Inc</t>
        </is>
      </c>
      <c r="D69" s="32" t="inlineStr">
        <is>
          <t>info@shiftinc.com</t>
        </is>
      </c>
      <c r="E69" s="20" t="inlineStr">
        <is>
          <t>LinkedIn</t>
        </is>
      </c>
      <c r="F69" s="20" t="inlineStr">
        <is>
          <t>Enterprise</t>
        </is>
      </c>
      <c r="G69" s="20" t="inlineStr">
        <is>
          <t>Yes</t>
        </is>
      </c>
      <c r="H69" s="16" t="n">
        <v>46133</v>
      </c>
      <c r="I69" s="20" t="inlineStr">
        <is>
          <t>No</t>
        </is>
      </c>
      <c r="J69" s="16" t="n"/>
      <c r="K69" s="19" t="n">
        <v/>
      </c>
      <c r="L69" s="17">
        <f>IF(G69="Yes", H69-B69, "")</f>
        <v/>
      </c>
      <c r="M69" s="17">
        <f>IF(I69="Yes", J69-H69, "")</f>
        <v/>
      </c>
      <c r="N69" s="17">
        <f>IF(I69="Yes", J69-B69, "")</f>
        <v/>
      </c>
    </row>
    <row r="70">
      <c r="A70" s="25" t="inlineStr">
        <is>
          <t>LD-1517</t>
        </is>
      </c>
      <c r="B70" s="21" t="n">
        <v>46114</v>
      </c>
      <c r="C70" s="31" t="inlineStr">
        <is>
          <t>Stellar Technologies</t>
        </is>
      </c>
      <c r="D70" s="31" t="inlineStr">
        <is>
          <t>info@stellartechnologies.com</t>
        </is>
      </c>
      <c r="E70" s="25" t="inlineStr">
        <is>
          <t>Google</t>
        </is>
      </c>
      <c r="F70" s="25" t="inlineStr">
        <is>
          <t>SMB</t>
        </is>
      </c>
      <c r="G70" s="25" t="inlineStr">
        <is>
          <t>No</t>
        </is>
      </c>
      <c r="H70" s="21" t="n"/>
      <c r="I70" s="25" t="inlineStr">
        <is>
          <t>No</t>
        </is>
      </c>
      <c r="J70" s="21" t="n"/>
      <c r="K70" s="24" t="n">
        <v/>
      </c>
      <c r="L70" s="22">
        <f>IF(G70="Yes", H70-B70, "")</f>
        <v/>
      </c>
      <c r="M70" s="22">
        <f>IF(I70="Yes", J70-H70, "")</f>
        <v/>
      </c>
      <c r="N70" s="22">
        <f>IF(I70="Yes", J70-B70, "")</f>
        <v/>
      </c>
    </row>
    <row r="71">
      <c r="A71" s="20" t="inlineStr">
        <is>
          <t>LD-1214</t>
        </is>
      </c>
      <c r="B71" s="16" t="n">
        <v>46164</v>
      </c>
      <c r="C71" s="32" t="inlineStr">
        <is>
          <t>Alpha Co</t>
        </is>
      </c>
      <c r="D71" s="32" t="inlineStr">
        <is>
          <t>info@alphaco.com</t>
        </is>
      </c>
      <c r="E71" s="20" t="inlineStr">
        <is>
          <t>LinkedIn</t>
        </is>
      </c>
      <c r="F71" s="20" t="inlineStr">
        <is>
          <t>SMB</t>
        </is>
      </c>
      <c r="G71" s="20" t="inlineStr">
        <is>
          <t>Yes</t>
        </is>
      </c>
      <c r="H71" s="16" t="n">
        <v>46174</v>
      </c>
      <c r="I71" s="20" t="inlineStr">
        <is>
          <t>No</t>
        </is>
      </c>
      <c r="J71" s="16" t="n"/>
      <c r="K71" s="19" t="n">
        <v/>
      </c>
      <c r="L71" s="17">
        <f>IF(G71="Yes", H71-B71, "")</f>
        <v/>
      </c>
      <c r="M71" s="17">
        <f>IF(I71="Yes", J71-H71, "")</f>
        <v/>
      </c>
      <c r="N71" s="17">
        <f>IF(I71="Yes", J71-B71, "")</f>
        <v/>
      </c>
    </row>
    <row r="72">
      <c r="A72" s="25" t="inlineStr">
        <is>
          <t>LD-1064</t>
        </is>
      </c>
      <c r="B72" s="21" t="n">
        <v>46105</v>
      </c>
      <c r="C72" s="31" t="inlineStr">
        <is>
          <t>Flux Technologies</t>
        </is>
      </c>
      <c r="D72" s="31" t="inlineStr">
        <is>
          <t>info@fluxtechnologies.com</t>
        </is>
      </c>
      <c r="E72" s="25" t="inlineStr">
        <is>
          <t>Organic / Direct</t>
        </is>
      </c>
      <c r="F72" s="25" t="inlineStr">
        <is>
          <t>Mid-Market</t>
        </is>
      </c>
      <c r="G72" s="25" t="inlineStr">
        <is>
          <t>Yes</t>
        </is>
      </c>
      <c r="H72" s="21" t="n">
        <v>46114</v>
      </c>
      <c r="I72" s="25" t="inlineStr">
        <is>
          <t>No</t>
        </is>
      </c>
      <c r="J72" s="21" t="n"/>
      <c r="K72" s="24" t="n">
        <v/>
      </c>
      <c r="L72" s="22">
        <f>IF(G72="Yes", H72-B72, "")</f>
        <v/>
      </c>
      <c r="M72" s="22">
        <f>IF(I72="Yes", J72-H72, "")</f>
        <v/>
      </c>
      <c r="N72" s="22">
        <f>IF(I72="Yes", J72-B72, "")</f>
        <v/>
      </c>
    </row>
    <row r="73">
      <c r="A73" s="20" t="inlineStr">
        <is>
          <t>LD-1058</t>
        </is>
      </c>
      <c r="B73" s="16" t="n">
        <v>46102</v>
      </c>
      <c r="C73" s="32" t="inlineStr">
        <is>
          <t>Acme Technologies</t>
        </is>
      </c>
      <c r="D73" s="32" t="inlineStr">
        <is>
          <t>info@acmetechnologies.com</t>
        </is>
      </c>
      <c r="E73" s="20" t="inlineStr">
        <is>
          <t>Referral</t>
        </is>
      </c>
      <c r="F73" s="20" t="inlineStr">
        <is>
          <t>Mid-Market</t>
        </is>
      </c>
      <c r="G73" s="20" t="inlineStr">
        <is>
          <t>No</t>
        </is>
      </c>
      <c r="H73" s="16" t="n"/>
      <c r="I73" s="20" t="inlineStr">
        <is>
          <t>No</t>
        </is>
      </c>
      <c r="J73" s="16" t="n"/>
      <c r="K73" s="19" t="n">
        <v/>
      </c>
      <c r="L73" s="17">
        <f>IF(G73="Yes", H73-B73, "")</f>
        <v/>
      </c>
      <c r="M73" s="17">
        <f>IF(I73="Yes", J73-H73, "")</f>
        <v/>
      </c>
      <c r="N73" s="17">
        <f>IF(I73="Yes", J73-B73, "")</f>
        <v/>
      </c>
    </row>
    <row r="74"/>
    <row r="75">
      <c r="A75" s="20" t="inlineStr">
        <is>
          <t>LD-1317</t>
        </is>
      </c>
      <c r="B75" s="16" t="n">
        <v>46092</v>
      </c>
      <c r="C75" s="32" t="inlineStr">
        <is>
          <t>Vortex Technologies</t>
        </is>
      </c>
      <c r="D75" s="32" t="inlineStr">
        <is>
          <t>info@vortextechnologies.com</t>
        </is>
      </c>
      <c r="E75" s="20" t="inlineStr">
        <is>
          <t>Webinar</t>
        </is>
      </c>
      <c r="F75" s="20" t="inlineStr">
        <is>
          <t>Mid-Market</t>
        </is>
      </c>
      <c r="G75" s="20" t="inlineStr">
        <is>
          <t>Yes</t>
        </is>
      </c>
      <c r="H75" s="16" t="n">
        <v>46101</v>
      </c>
      <c r="I75" s="20" t="inlineStr">
        <is>
          <t>No</t>
        </is>
      </c>
      <c r="J75" s="16" t="n"/>
      <c r="K75" s="19" t="n">
        <v/>
      </c>
      <c r="L75" s="17">
        <f>IF(G75="Yes", H75-B75, "")</f>
        <v/>
      </c>
      <c r="M75" s="17">
        <f>IF(I75="Yes", J75-H75, "")</f>
        <v/>
      </c>
      <c r="N75" s="17">
        <f>IF(I75="Yes", J75-B75, "")</f>
        <v/>
      </c>
    </row>
    <row r="76">
      <c r="A76" s="25" t="inlineStr">
        <is>
          <t>LD-1379</t>
        </is>
      </c>
      <c r="B76" s="21" t="n">
        <v>46091</v>
      </c>
      <c r="C76" s="31" t="inlineStr">
        <is>
          <t>Summit Global</t>
        </is>
      </c>
      <c r="D76" s="31" t="inlineStr">
        <is>
          <t>info@summitglobal.com</t>
        </is>
      </c>
      <c r="E76" s="25" t="inlineStr">
        <is>
          <t>LinkedIn</t>
        </is>
      </c>
      <c r="F76" s="25" t="inlineStr">
        <is>
          <t>Enterprise</t>
        </is>
      </c>
      <c r="G76" s="25" t="inlineStr">
        <is>
          <t>Yes</t>
        </is>
      </c>
      <c r="H76" s="21" t="n">
        <v>46094</v>
      </c>
      <c r="I76" s="25" t="inlineStr">
        <is>
          <t>No</t>
        </is>
      </c>
      <c r="J76" s="21" t="n"/>
      <c r="K76" s="24" t="n">
        <v/>
      </c>
      <c r="L76" s="22">
        <f>IF(G76="Yes", H76-B76, "")</f>
        <v/>
      </c>
      <c r="M76" s="22">
        <f>IF(I76="Yes", J76-H76, "")</f>
        <v/>
      </c>
      <c r="N76" s="22">
        <f>IF(I76="Yes", J76-B76, "")</f>
        <v/>
      </c>
    </row>
    <row r="77">
      <c r="A77" s="20" t="inlineStr">
        <is>
          <t>LD-1068</t>
        </is>
      </c>
      <c r="B77" s="16" t="n">
        <v>46150</v>
      </c>
      <c r="C77" s="32" t="inlineStr">
        <is>
          <t>Quantum Partners</t>
        </is>
      </c>
      <c r="D77" s="32" t="inlineStr">
        <is>
          <t>info@quantumpartners.com</t>
        </is>
      </c>
      <c r="E77" s="20" t="inlineStr">
        <is>
          <t>Organic / Direct</t>
        </is>
      </c>
      <c r="F77" s="20" t="inlineStr">
        <is>
          <t>Enterprise</t>
        </is>
      </c>
      <c r="G77" s="20" t="inlineStr">
        <is>
          <t>Yes</t>
        </is>
      </c>
      <c r="H77" s="16" t="n">
        <v>46152</v>
      </c>
      <c r="I77" s="20" t="inlineStr">
        <is>
          <t>Yes</t>
        </is>
      </c>
      <c r="J77" s="16" t="n">
        <v>46162</v>
      </c>
      <c r="K77" s="19" t="n">
        <v>7375</v>
      </c>
      <c r="L77" s="17">
        <f>IF(G77="Yes", H77-B77, "")</f>
        <v/>
      </c>
      <c r="M77" s="17">
        <f>IF(I77="Yes", J77-H77, "")</f>
        <v/>
      </c>
      <c r="N77" s="17">
        <f>IF(I77="Yes", J77-B77, "")</f>
        <v/>
      </c>
    </row>
    <row r="78">
      <c r="A78" s="25" t="inlineStr">
        <is>
          <t>LD-1469</t>
        </is>
      </c>
      <c r="B78" s="21" t="n">
        <v>46091</v>
      </c>
      <c r="C78" s="31" t="inlineStr">
        <is>
          <t>Vortex Solutions</t>
        </is>
      </c>
      <c r="D78" s="31" t="inlineStr">
        <is>
          <t>info@vortexsolutions.com</t>
        </is>
      </c>
      <c r="E78" s="25" t="inlineStr">
        <is>
          <t>Cold Outreach</t>
        </is>
      </c>
      <c r="F78" s="25" t="inlineStr">
        <is>
          <t>Enterprise</t>
        </is>
      </c>
      <c r="G78" s="25" t="inlineStr">
        <is>
          <t>Yes</t>
        </is>
      </c>
      <c r="H78" s="21" t="n">
        <v>46094</v>
      </c>
      <c r="I78" s="25" t="inlineStr">
        <is>
          <t>No</t>
        </is>
      </c>
      <c r="J78" s="21" t="n"/>
      <c r="K78" s="24" t="n">
        <v/>
      </c>
      <c r="L78" s="22">
        <f>IF(G78="Yes", H78-B78, "")</f>
        <v/>
      </c>
      <c r="M78" s="22">
        <f>IF(I78="Yes", J78-H78, "")</f>
        <v/>
      </c>
      <c r="N78" s="22">
        <f>IF(I78="Yes", J78-B78, "")</f>
        <v/>
      </c>
    </row>
    <row r="79">
      <c r="A79" s="20" t="inlineStr">
        <is>
          <t>LD-1005</t>
        </is>
      </c>
      <c r="B79" s="16" t="n">
        <v>46150</v>
      </c>
      <c r="C79" s="32" t="inlineStr">
        <is>
          <t>Omega Corp</t>
        </is>
      </c>
      <c r="D79" s="32" t="inlineStr">
        <is>
          <t>info@omegacorp.com</t>
        </is>
      </c>
      <c r="E79" s="20" t="inlineStr">
        <is>
          <t>Cold Outreach</t>
        </is>
      </c>
      <c r="F79" s="20" t="inlineStr">
        <is>
          <t>Mid-Market</t>
        </is>
      </c>
      <c r="G79" s="20" t="inlineStr">
        <is>
          <t>Yes</t>
        </is>
      </c>
      <c r="H79" s="16" t="n">
        <v>46152</v>
      </c>
      <c r="I79" s="20" t="inlineStr">
        <is>
          <t>Yes</t>
        </is>
      </c>
      <c r="J79" s="16" t="n">
        <v>46164</v>
      </c>
      <c r="K79" s="19" t="n">
        <v>1291</v>
      </c>
      <c r="L79" s="17">
        <f>IF(G79="Yes", H79-B79, "")</f>
        <v/>
      </c>
      <c r="M79" s="17">
        <f>IF(I79="Yes", J79-H79, "")</f>
        <v/>
      </c>
      <c r="N79" s="17">
        <f>IF(I79="Yes", J79-B79, "")</f>
        <v/>
      </c>
    </row>
    <row r="80">
      <c r="A80" s="25" t="inlineStr">
        <is>
          <t>LD-1182</t>
        </is>
      </c>
      <c r="B80" s="21" t="n">
        <v>46129</v>
      </c>
      <c r="C80" s="31" t="inlineStr">
        <is>
          <t>Vortex LLC</t>
        </is>
      </c>
      <c r="D80" s="31" t="inlineStr">
        <is>
          <t>info@vortexllc.com</t>
        </is>
      </c>
      <c r="E80" s="25" t="inlineStr">
        <is>
          <t>Organic / Direct</t>
        </is>
      </c>
      <c r="F80" s="25" t="inlineStr">
        <is>
          <t>Enterprise</t>
        </is>
      </c>
      <c r="G80" s="25" t="inlineStr">
        <is>
          <t>Yes</t>
        </is>
      </c>
      <c r="H80" s="21" t="n">
        <v>46139</v>
      </c>
      <c r="I80" s="25" t="inlineStr">
        <is>
          <t>No</t>
        </is>
      </c>
      <c r="J80" s="21" t="n"/>
      <c r="K80" s="24" t="n">
        <v/>
      </c>
      <c r="L80" s="22">
        <f>IF(G80="Yes", H80-B80, "")</f>
        <v/>
      </c>
      <c r="M80" s="22">
        <f>IF(I80="Yes", J80-H80, "")</f>
        <v/>
      </c>
      <c r="N80" s="22">
        <f>IF(I80="Yes", J80-B80, "")</f>
        <v/>
      </c>
    </row>
    <row r="81">
      <c r="A81" s="20" t="inlineStr">
        <is>
          <t>LD-1340</t>
        </is>
      </c>
      <c r="B81" s="16" t="n">
        <v>46124</v>
      </c>
      <c r="C81" s="32" t="inlineStr">
        <is>
          <t>Shift Technologies</t>
        </is>
      </c>
      <c r="D81" s="32" t="inlineStr">
        <is>
          <t>info@shifttechnologies.com</t>
        </is>
      </c>
      <c r="E81" s="20" t="inlineStr">
        <is>
          <t>Google</t>
        </is>
      </c>
      <c r="F81" s="20" t="inlineStr">
        <is>
          <t>Enterprise</t>
        </is>
      </c>
      <c r="G81" s="20" t="inlineStr">
        <is>
          <t>Yes</t>
        </is>
      </c>
      <c r="H81" s="16" t="n">
        <v>46134</v>
      </c>
      <c r="I81" s="20" t="inlineStr">
        <is>
          <t>Yes</t>
        </is>
      </c>
      <c r="J81" s="16" t="n">
        <v>46145</v>
      </c>
      <c r="K81" s="19" t="n">
        <v>7099</v>
      </c>
      <c r="L81" s="17">
        <f>IF(G81="Yes", H81-B81, "")</f>
        <v/>
      </c>
      <c r="M81" s="17">
        <f>IF(I81="Yes", J81-H81, "")</f>
        <v/>
      </c>
      <c r="N81" s="17">
        <f>IF(I81="Yes", J81-B81, "")</f>
        <v/>
      </c>
    </row>
    <row r="82">
      <c r="A82" s="25" t="inlineStr">
        <is>
          <t>LD-1111</t>
        </is>
      </c>
      <c r="B82" s="21" t="n">
        <v>46128</v>
      </c>
      <c r="C82" s="31" t="inlineStr">
        <is>
          <t>Vortex Partners</t>
        </is>
      </c>
      <c r="D82" s="31" t="inlineStr">
        <is>
          <t>info@vortexpartners.com</t>
        </is>
      </c>
      <c r="E82" s="25" t="inlineStr">
        <is>
          <t>Google</t>
        </is>
      </c>
      <c r="F82" s="25" t="inlineStr">
        <is>
          <t>Enterprise</t>
        </is>
      </c>
      <c r="G82" s="25" t="inlineStr">
        <is>
          <t>No</t>
        </is>
      </c>
      <c r="H82" s="21" t="n"/>
      <c r="I82" s="25" t="inlineStr">
        <is>
          <t>No</t>
        </is>
      </c>
      <c r="J82" s="21" t="n"/>
      <c r="K82" s="24" t="n">
        <v/>
      </c>
      <c r="L82" s="22">
        <f>IF(G82="Yes", H82-B82, "")</f>
        <v/>
      </c>
      <c r="M82" s="22">
        <f>IF(I82="Yes", J82-H82, "")</f>
        <v/>
      </c>
      <c r="N82" s="22">
        <f>IF(I82="Yes", J82-B82, "")</f>
        <v/>
      </c>
    </row>
    <row r="83">
      <c r="A83" s="20" t="inlineStr">
        <is>
          <t>LD-1006</t>
        </is>
      </c>
      <c r="B83" s="16" t="n">
        <v>46119</v>
      </c>
      <c r="C83" s="32" t="inlineStr">
        <is>
          <t>Vortex LLC</t>
        </is>
      </c>
      <c r="D83" s="32" t="inlineStr">
        <is>
          <t>info@vortexllc.com</t>
        </is>
      </c>
      <c r="E83" s="20" t="inlineStr">
        <is>
          <t>LinkedIn</t>
        </is>
      </c>
      <c r="F83" s="20" t="inlineStr">
        <is>
          <t>SMB</t>
        </is>
      </c>
      <c r="G83" s="20" t="inlineStr">
        <is>
          <t>Yes</t>
        </is>
      </c>
      <c r="H83" s="16" t="n">
        <v>46123</v>
      </c>
      <c r="I83" s="20" t="inlineStr">
        <is>
          <t>No</t>
        </is>
      </c>
      <c r="J83" s="16" t="n"/>
      <c r="K83" s="19" t="n">
        <v/>
      </c>
      <c r="L83" s="17">
        <f>IF(G83="Yes", H83-B83, "")</f>
        <v/>
      </c>
      <c r="M83" s="17">
        <f>IF(I83="Yes", J83-H83, "")</f>
        <v/>
      </c>
      <c r="N83" s="17">
        <f>IF(I83="Yes", J83-B83, "")</f>
        <v/>
      </c>
    </row>
    <row r="84">
      <c r="A84" s="25" t="inlineStr">
        <is>
          <t>LD-1194</t>
        </is>
      </c>
      <c r="B84" s="21" t="n">
        <v>46105</v>
      </c>
      <c r="C84" s="31" t="inlineStr">
        <is>
          <t>Apex Inc</t>
        </is>
      </c>
      <c r="D84" s="31" t="inlineStr">
        <is>
          <t>info@apexinc.com</t>
        </is>
      </c>
      <c r="E84" s="25" t="inlineStr">
        <is>
          <t>LinkedIn</t>
        </is>
      </c>
      <c r="F84" s="25" t="inlineStr">
        <is>
          <t>Mid-Market</t>
        </is>
      </c>
      <c r="G84" s="25" t="inlineStr">
        <is>
          <t>Yes</t>
        </is>
      </c>
      <c r="H84" s="21" t="n">
        <v>46114</v>
      </c>
      <c r="I84" s="25" t="inlineStr">
        <is>
          <t>No</t>
        </is>
      </c>
      <c r="J84" s="21" t="n"/>
      <c r="K84" s="24" t="n">
        <v/>
      </c>
      <c r="L84" s="22">
        <f>IF(G84="Yes", H84-B84, "")</f>
        <v/>
      </c>
      <c r="M84" s="22">
        <f>IF(I84="Yes", J84-H84, "")</f>
        <v/>
      </c>
      <c r="N84" s="22">
        <f>IF(I84="Yes", J84-B84, "")</f>
        <v/>
      </c>
    </row>
    <row r="85">
      <c r="A85" s="20" t="inlineStr">
        <is>
          <t>LD-1403</t>
        </is>
      </c>
      <c r="B85" s="16" t="n">
        <v>46128</v>
      </c>
      <c r="C85" s="32" t="inlineStr">
        <is>
          <t>Alpha Inc</t>
        </is>
      </c>
      <c r="D85" s="32" t="inlineStr">
        <is>
          <t>info@alphainc.com</t>
        </is>
      </c>
      <c r="E85" s="20" t="inlineStr">
        <is>
          <t>Google</t>
        </is>
      </c>
      <c r="F85" s="20" t="inlineStr">
        <is>
          <t>Enterprise</t>
        </is>
      </c>
      <c r="G85" s="20" t="inlineStr">
        <is>
          <t>No</t>
        </is>
      </c>
      <c r="H85" s="16" t="n"/>
      <c r="I85" s="20" t="inlineStr">
        <is>
          <t>No</t>
        </is>
      </c>
      <c r="J85" s="16" t="n"/>
      <c r="K85" s="19" t="n">
        <v/>
      </c>
      <c r="L85" s="17">
        <f>IF(G85="Yes", H85-B85, "")</f>
        <v/>
      </c>
      <c r="M85" s="17">
        <f>IF(I85="Yes", J85-H85, "")</f>
        <v/>
      </c>
      <c r="N85" s="17">
        <f>IF(I85="Yes", J85-B85, "")</f>
        <v/>
      </c>
    </row>
    <row r="86">
      <c r="A86" s="25" t="inlineStr">
        <is>
          <t>LD-1162</t>
        </is>
      </c>
      <c r="B86" s="21" t="n">
        <v>46109</v>
      </c>
      <c r="C86" s="31" t="inlineStr">
        <is>
          <t>Zenith Solutions</t>
        </is>
      </c>
      <c r="D86" s="31" t="inlineStr">
        <is>
          <t>info@zenithsolutions.com</t>
        </is>
      </c>
      <c r="E86" s="25" t="inlineStr">
        <is>
          <t>Referral</t>
        </is>
      </c>
      <c r="F86" s="25" t="inlineStr">
        <is>
          <t>SMB</t>
        </is>
      </c>
      <c r="G86" s="25" t="inlineStr">
        <is>
          <t>No</t>
        </is>
      </c>
      <c r="H86" s="21" t="n"/>
      <c r="I86" s="25" t="inlineStr">
        <is>
          <t>No</t>
        </is>
      </c>
      <c r="J86" s="21" t="n"/>
      <c r="K86" s="24" t="n">
        <v/>
      </c>
      <c r="L86" s="22">
        <f>IF(G86="Yes", H86-B86, "")</f>
        <v/>
      </c>
      <c r="M86" s="22">
        <f>IF(I86="Yes", J86-H86, "")</f>
        <v/>
      </c>
      <c r="N86" s="22">
        <f>IF(I86="Yes", J86-B86, "")</f>
        <v/>
      </c>
    </row>
    <row r="87">
      <c r="A87" s="20" t="inlineStr">
        <is>
          <t>LD-1402</t>
        </is>
      </c>
      <c r="B87" s="16" t="n">
        <v>46100</v>
      </c>
      <c r="C87" s="32" t="inlineStr">
        <is>
          <t>Zenith Co</t>
        </is>
      </c>
      <c r="D87" s="32" t="inlineStr">
        <is>
          <t>info@zenithco.com</t>
        </is>
      </c>
      <c r="E87" s="20" t="inlineStr">
        <is>
          <t>LinkedIn</t>
        </is>
      </c>
      <c r="F87" s="20" t="inlineStr">
        <is>
          <t>SMB</t>
        </is>
      </c>
      <c r="G87" s="20" t="inlineStr">
        <is>
          <t>Yes</t>
        </is>
      </c>
      <c r="H87" s="16" t="n">
        <v>46104</v>
      </c>
      <c r="I87" s="20" t="inlineStr">
        <is>
          <t>Yes</t>
        </is>
      </c>
      <c r="J87" s="16" t="n">
        <v>46115</v>
      </c>
      <c r="K87" s="19" t="n">
        <v>232</v>
      </c>
      <c r="L87" s="17">
        <f>IF(G87="Yes", H87-B87, "")</f>
        <v/>
      </c>
      <c r="M87" s="17">
        <f>IF(I87="Yes", J87-H87, "")</f>
        <v/>
      </c>
      <c r="N87" s="17">
        <f>IF(I87="Yes", J87-B87, "")</f>
        <v/>
      </c>
    </row>
    <row r="88">
      <c r="A88" s="25" t="inlineStr">
        <is>
          <t>LD-1140</t>
        </is>
      </c>
      <c r="B88" s="21" t="n">
        <v>46091</v>
      </c>
      <c r="C88" s="31" t="inlineStr">
        <is>
          <t>Vortex Global</t>
        </is>
      </c>
      <c r="D88" s="31" t="inlineStr">
        <is>
          <t>info@vortexglobal.com</t>
        </is>
      </c>
      <c r="E88" s="25" t="inlineStr">
        <is>
          <t>Cold Outreach</t>
        </is>
      </c>
      <c r="F88" s="25" t="inlineStr">
        <is>
          <t>SMB</t>
        </is>
      </c>
      <c r="G88" s="25" t="inlineStr">
        <is>
          <t>No</t>
        </is>
      </c>
      <c r="H88" s="21" t="n"/>
      <c r="I88" s="25" t="inlineStr">
        <is>
          <t>No</t>
        </is>
      </c>
      <c r="J88" s="21" t="n"/>
      <c r="K88" s="24" t="n">
        <v/>
      </c>
      <c r="L88" s="22">
        <f>IF(G88="Yes", H88-B88, "")</f>
        <v/>
      </c>
      <c r="M88" s="22">
        <f>IF(I88="Yes", J88-H88, "")</f>
        <v/>
      </c>
      <c r="N88" s="22">
        <f>IF(I88="Yes", J88-B88, "")</f>
        <v/>
      </c>
    </row>
    <row r="89">
      <c r="A89" s="20" t="inlineStr">
        <is>
          <t>LD-1399</t>
        </is>
      </c>
      <c r="B89" s="16" t="n">
        <v>46084</v>
      </c>
      <c r="C89" s="32" t="inlineStr">
        <is>
          <t>Acme LLC</t>
        </is>
      </c>
      <c r="D89" s="32" t="inlineStr">
        <is>
          <t>info@acmellc.com</t>
        </is>
      </c>
      <c r="E89" s="20" t="inlineStr">
        <is>
          <t>Google</t>
        </is>
      </c>
      <c r="F89" s="20" t="inlineStr">
        <is>
          <t>Enterprise</t>
        </is>
      </c>
      <c r="G89" s="20" t="inlineStr">
        <is>
          <t>Yes</t>
        </is>
      </c>
      <c r="H89" s="16" t="n">
        <v>46093</v>
      </c>
      <c r="I89" s="20" t="inlineStr">
        <is>
          <t>No</t>
        </is>
      </c>
      <c r="J89" s="16" t="n"/>
      <c r="K89" s="19" t="n">
        <v/>
      </c>
      <c r="L89" s="17">
        <f>IF(G89="Yes", H89-B89, "")</f>
        <v/>
      </c>
      <c r="M89" s="17">
        <f>IF(I89="Yes", J89-H89, "")</f>
        <v/>
      </c>
      <c r="N89" s="17">
        <f>IF(I89="Yes", J89-B89, "")</f>
        <v/>
      </c>
    </row>
    <row r="90">
      <c r="A90" s="25" t="inlineStr">
        <is>
          <t>LD-1075</t>
        </is>
      </c>
      <c r="B90" s="21" t="n">
        <v>46091</v>
      </c>
      <c r="C90" s="31" t="inlineStr">
        <is>
          <t>Beacon Solutions</t>
        </is>
      </c>
      <c r="D90" s="31" t="inlineStr">
        <is>
          <t>info@beaconsolutions.com</t>
        </is>
      </c>
      <c r="E90" s="25" t="inlineStr">
        <is>
          <t>Webinar</t>
        </is>
      </c>
      <c r="F90" s="25" t="inlineStr">
        <is>
          <t>SMB</t>
        </is>
      </c>
      <c r="G90" s="25" t="inlineStr">
        <is>
          <t>No</t>
        </is>
      </c>
      <c r="H90" s="21" t="n"/>
      <c r="I90" s="25" t="inlineStr">
        <is>
          <t>No</t>
        </is>
      </c>
      <c r="J90" s="21" t="n"/>
      <c r="K90" s="24" t="n">
        <v/>
      </c>
      <c r="L90" s="22">
        <f>IF(G90="Yes", H90-B90, "")</f>
        <v/>
      </c>
      <c r="M90" s="22">
        <f>IF(I90="Yes", J90-H90, "")</f>
        <v/>
      </c>
      <c r="N90" s="22">
        <f>IF(I90="Yes", J90-B90, "")</f>
        <v/>
      </c>
    </row>
    <row r="91">
      <c r="A91" s="20" t="inlineStr">
        <is>
          <t>LD-1217</t>
        </is>
      </c>
      <c r="B91" s="16" t="n">
        <v>46112</v>
      </c>
      <c r="C91" s="32" t="inlineStr">
        <is>
          <t>Stellar LLC</t>
        </is>
      </c>
      <c r="D91" s="32" t="inlineStr">
        <is>
          <t>info@stellarllc.com</t>
        </is>
      </c>
      <c r="E91" s="20" t="inlineStr">
        <is>
          <t>LinkedIn</t>
        </is>
      </c>
      <c r="F91" s="20" t="inlineStr">
        <is>
          <t>Mid-Market</t>
        </is>
      </c>
      <c r="G91" s="20" t="inlineStr">
        <is>
          <t>Yes</t>
        </is>
      </c>
      <c r="H91" s="16" t="n">
        <v>46120</v>
      </c>
      <c r="I91" s="20" t="inlineStr">
        <is>
          <t>No</t>
        </is>
      </c>
      <c r="J91" s="16" t="n"/>
      <c r="K91" s="19" t="n">
        <v/>
      </c>
      <c r="L91" s="17">
        <f>IF(G91="Yes", H91-B91, "")</f>
        <v/>
      </c>
      <c r="M91" s="17">
        <f>IF(I91="Yes", J91-H91, "")</f>
        <v/>
      </c>
      <c r="N91" s="17">
        <f>IF(I91="Yes", J91-B91, "")</f>
        <v/>
      </c>
    </row>
    <row r="92">
      <c r="A92" s="25" t="inlineStr">
        <is>
          <t>LD-1260</t>
        </is>
      </c>
      <c r="B92" s="21" t="n">
        <v>46119</v>
      </c>
      <c r="C92" s="31" t="inlineStr">
        <is>
          <t>Beacon Global</t>
        </is>
      </c>
      <c r="D92" s="31" t="inlineStr">
        <is>
          <t>info@beaconglobal.com</t>
        </is>
      </c>
      <c r="E92" s="25" t="inlineStr">
        <is>
          <t>Google</t>
        </is>
      </c>
      <c r="F92" s="25" t="inlineStr">
        <is>
          <t>SMB</t>
        </is>
      </c>
      <c r="G92" s="25" t="inlineStr">
        <is>
          <t>No</t>
        </is>
      </c>
      <c r="H92" s="21" t="n"/>
      <c r="I92" s="25" t="inlineStr">
        <is>
          <t>No</t>
        </is>
      </c>
      <c r="J92" s="21" t="n"/>
      <c r="K92" s="24" t="n">
        <v/>
      </c>
      <c r="L92" s="22">
        <f>IF(G92="Yes", H92-B92, "")</f>
        <v/>
      </c>
      <c r="M92" s="22">
        <f>IF(I92="Yes", J92-H92, "")</f>
        <v/>
      </c>
      <c r="N92" s="22">
        <f>IF(I92="Yes", J92-B92, "")</f>
        <v/>
      </c>
    </row>
    <row r="93">
      <c r="A93" s="20" t="inlineStr">
        <is>
          <t>LD-1210</t>
        </is>
      </c>
      <c r="B93" s="16" t="n">
        <v>46158</v>
      </c>
      <c r="C93" s="32" t="inlineStr">
        <is>
          <t>Apex Solutions</t>
        </is>
      </c>
      <c r="D93" s="32" t="inlineStr">
        <is>
          <t>info@apexsolutions.com</t>
        </is>
      </c>
      <c r="E93" s="20" t="inlineStr">
        <is>
          <t>LinkedIn</t>
        </is>
      </c>
      <c r="F93" s="20" t="inlineStr">
        <is>
          <t>Enterprise</t>
        </is>
      </c>
      <c r="G93" s="20" t="inlineStr">
        <is>
          <t>Yes</t>
        </is>
      </c>
      <c r="H93" s="16" t="n">
        <v>46159</v>
      </c>
      <c r="I93" s="20" t="inlineStr">
        <is>
          <t>Yes</t>
        </is>
      </c>
      <c r="J93" s="16" t="n">
        <v>46173</v>
      </c>
      <c r="K93" s="19" t="n">
        <v>4918</v>
      </c>
      <c r="L93" s="17">
        <f>IF(G93="Yes", H93-B93, "")</f>
        <v/>
      </c>
      <c r="M93" s="17">
        <f>IF(I93="Yes", J93-H93, "")</f>
        <v/>
      </c>
      <c r="N93" s="17">
        <f>IF(I93="Yes", J93-B93, "")</f>
        <v/>
      </c>
    </row>
    <row r="94">
      <c r="A94" s="25" t="inlineStr">
        <is>
          <t>LD-1447</t>
        </is>
      </c>
      <c r="B94" s="21" t="n">
        <v>46154</v>
      </c>
      <c r="C94" s="31" t="inlineStr">
        <is>
          <t>Pulse Technologies</t>
        </is>
      </c>
      <c r="D94" s="31" t="inlineStr">
        <is>
          <t>info@pulsetechnologies.com</t>
        </is>
      </c>
      <c r="E94" s="25" t="inlineStr">
        <is>
          <t>LinkedIn</t>
        </is>
      </c>
      <c r="F94" s="25" t="inlineStr">
        <is>
          <t>SMB</t>
        </is>
      </c>
      <c r="G94" s="25" t="inlineStr">
        <is>
          <t>Yes</t>
        </is>
      </c>
      <c r="H94" s="21" t="n">
        <v>46160</v>
      </c>
      <c r="I94" s="25" t="inlineStr">
        <is>
          <t>No</t>
        </is>
      </c>
      <c r="J94" s="21" t="n"/>
      <c r="K94" s="24" t="n">
        <v/>
      </c>
      <c r="L94" s="22">
        <f>IF(G94="Yes", H94-B94, "")</f>
        <v/>
      </c>
      <c r="M94" s="22">
        <f>IF(I94="Yes", J94-H94, "")</f>
        <v/>
      </c>
      <c r="N94" s="22">
        <f>IF(I94="Yes", J94-B94, "")</f>
        <v/>
      </c>
    </row>
    <row r="95">
      <c r="A95" s="20" t="inlineStr">
        <is>
          <t>LD-1426</t>
        </is>
      </c>
      <c r="B95" s="16" t="n">
        <v>46154</v>
      </c>
      <c r="C95" s="32" t="inlineStr">
        <is>
          <t>Synergy Co</t>
        </is>
      </c>
      <c r="D95" s="32" t="inlineStr">
        <is>
          <t>info@synergyco.com</t>
        </is>
      </c>
      <c r="E95" s="20" t="inlineStr">
        <is>
          <t>Referral</t>
        </is>
      </c>
      <c r="F95" s="20" t="inlineStr">
        <is>
          <t>Enterprise</t>
        </is>
      </c>
      <c r="G95" s="20" t="inlineStr">
        <is>
          <t>No</t>
        </is>
      </c>
      <c r="H95" s="16" t="n"/>
      <c r="I95" s="20" t="inlineStr">
        <is>
          <t>No</t>
        </is>
      </c>
      <c r="J95" s="16" t="n"/>
      <c r="K95" s="19" t="n">
        <v/>
      </c>
      <c r="L95" s="17">
        <f>IF(G95="Yes", H95-B95, "")</f>
        <v/>
      </c>
      <c r="M95" s="17">
        <f>IF(I95="Yes", J95-H95, "")</f>
        <v/>
      </c>
      <c r="N95" s="17">
        <f>IF(I95="Yes", J95-B95, "")</f>
        <v/>
      </c>
    </row>
    <row r="96">
      <c r="A96" s="25" t="inlineStr">
        <is>
          <t>LD-1186</t>
        </is>
      </c>
      <c r="B96" s="21" t="n">
        <v>46143</v>
      </c>
      <c r="C96" s="31" t="inlineStr">
        <is>
          <t>Core Group</t>
        </is>
      </c>
      <c r="D96" s="31" t="inlineStr">
        <is>
          <t>info@coregroup.com</t>
        </is>
      </c>
      <c r="E96" s="25" t="inlineStr">
        <is>
          <t>Cold Outreach</t>
        </is>
      </c>
      <c r="F96" s="25" t="inlineStr">
        <is>
          <t>Mid-Market</t>
        </is>
      </c>
      <c r="G96" s="25" t="inlineStr">
        <is>
          <t>No</t>
        </is>
      </c>
      <c r="H96" s="21" t="n"/>
      <c r="I96" s="25" t="inlineStr">
        <is>
          <t>No</t>
        </is>
      </c>
      <c r="J96" s="21" t="n"/>
      <c r="K96" s="24" t="n">
        <v/>
      </c>
      <c r="L96" s="22">
        <f>IF(G96="Yes", H96-B96, "")</f>
        <v/>
      </c>
      <c r="M96" s="22">
        <f>IF(I96="Yes", J96-H96, "")</f>
        <v/>
      </c>
      <c r="N96" s="22">
        <f>IF(I96="Yes", J96-B96, "")</f>
        <v/>
      </c>
    </row>
    <row r="97">
      <c r="A97" s="20" t="inlineStr">
        <is>
          <t>LD-1218</t>
        </is>
      </c>
      <c r="B97" s="16" t="n">
        <v>46142</v>
      </c>
      <c r="C97" s="32" t="inlineStr">
        <is>
          <t>Core Solutions</t>
        </is>
      </c>
      <c r="D97" s="32" t="inlineStr">
        <is>
          <t>info@coresolutions.com</t>
        </is>
      </c>
      <c r="E97" s="20" t="inlineStr">
        <is>
          <t>Cold Outreach</t>
        </is>
      </c>
      <c r="F97" s="20" t="inlineStr">
        <is>
          <t>SMB</t>
        </is>
      </c>
      <c r="G97" s="20" t="inlineStr">
        <is>
          <t>No</t>
        </is>
      </c>
      <c r="H97" s="16" t="n"/>
      <c r="I97" s="20" t="inlineStr">
        <is>
          <t>No</t>
        </is>
      </c>
      <c r="J97" s="16" t="n"/>
      <c r="K97" s="19" t="n">
        <v/>
      </c>
      <c r="L97" s="17">
        <f>IF(G97="Yes", H97-B97, "")</f>
        <v/>
      </c>
      <c r="M97" s="17">
        <f>IF(I97="Yes", J97-H97, "")</f>
        <v/>
      </c>
      <c r="N97" s="17">
        <f>IF(I97="Yes", J97-B97, "")</f>
        <v/>
      </c>
    </row>
    <row r="98">
      <c r="A98" s="25" t="inlineStr">
        <is>
          <t>LD-1385</t>
        </is>
      </c>
      <c r="B98" s="21" t="n">
        <v>46096</v>
      </c>
      <c r="C98" s="31" t="inlineStr">
        <is>
          <t>Pulse Technologies</t>
        </is>
      </c>
      <c r="D98" s="31" t="inlineStr">
        <is>
          <t>info@pulsetechnologies.com</t>
        </is>
      </c>
      <c r="E98" s="25" t="inlineStr">
        <is>
          <t>Organic / Direct</t>
        </is>
      </c>
      <c r="F98" s="25" t="inlineStr">
        <is>
          <t>Mid-Market</t>
        </is>
      </c>
      <c r="G98" s="25" t="inlineStr">
        <is>
          <t>Yes</t>
        </is>
      </c>
      <c r="H98" s="21" t="n">
        <v>46105</v>
      </c>
      <c r="I98" s="25" t="inlineStr">
        <is>
          <t>No</t>
        </is>
      </c>
      <c r="J98" s="21" t="n"/>
      <c r="K98" s="24" t="n">
        <v/>
      </c>
      <c r="L98" s="22">
        <f>IF(G98="Yes", H98-B98, "")</f>
        <v/>
      </c>
      <c r="M98" s="22">
        <f>IF(I98="Yes", J98-H98, "")</f>
        <v/>
      </c>
      <c r="N98" s="22">
        <f>IF(I98="Yes", J98-B98, "")</f>
        <v/>
      </c>
    </row>
    <row r="99">
      <c r="A99" s="20" t="inlineStr">
        <is>
          <t>LD-1124</t>
        </is>
      </c>
      <c r="B99" s="16" t="n">
        <v>46121</v>
      </c>
      <c r="C99" s="32" t="inlineStr">
        <is>
          <t>Omega Inc</t>
        </is>
      </c>
      <c r="D99" s="32" t="inlineStr">
        <is>
          <t>info@omegainc.com</t>
        </is>
      </c>
      <c r="E99" s="20" t="inlineStr">
        <is>
          <t>LinkedIn</t>
        </is>
      </c>
      <c r="F99" s="20" t="inlineStr">
        <is>
          <t>SMB</t>
        </is>
      </c>
      <c r="G99" s="20" t="inlineStr">
        <is>
          <t>No</t>
        </is>
      </c>
      <c r="H99" s="16" t="n"/>
      <c r="I99" s="20" t="inlineStr">
        <is>
          <t>No</t>
        </is>
      </c>
      <c r="J99" s="16" t="n"/>
      <c r="K99" s="19" t="n">
        <v/>
      </c>
      <c r="L99" s="17">
        <f>IF(G99="Yes", H99-B99, "")</f>
        <v/>
      </c>
      <c r="M99" s="17">
        <f>IF(I99="Yes", J99-H99, "")</f>
        <v/>
      </c>
      <c r="N99" s="17">
        <f>IF(I99="Yes", J99-B99, "")</f>
        <v/>
      </c>
    </row>
    <row r="100">
      <c r="A100" s="25" t="inlineStr">
        <is>
          <t>LD-1352</t>
        </is>
      </c>
      <c r="B100" s="21" t="n">
        <v>46119</v>
      </c>
      <c r="C100" s="31" t="inlineStr">
        <is>
          <t>Pulse Partners</t>
        </is>
      </c>
      <c r="D100" s="31" t="inlineStr">
        <is>
          <t>info@pulsepartners.com</t>
        </is>
      </c>
      <c r="E100" s="25" t="inlineStr">
        <is>
          <t>Referral</t>
        </is>
      </c>
      <c r="F100" s="25" t="inlineStr">
        <is>
          <t>Mid-Market</t>
        </is>
      </c>
      <c r="G100" s="25" t="inlineStr">
        <is>
          <t>Yes</t>
        </is>
      </c>
      <c r="H100" s="21" t="n">
        <v>46120</v>
      </c>
      <c r="I100" s="25" t="inlineStr">
        <is>
          <t>No</t>
        </is>
      </c>
      <c r="J100" s="21" t="n"/>
      <c r="K100" s="24" t="n">
        <v/>
      </c>
      <c r="L100" s="22">
        <f>IF(G100="Yes", H100-B100, "")</f>
        <v/>
      </c>
      <c r="M100" s="22">
        <f>IF(I100="Yes", J100-H100, "")</f>
        <v/>
      </c>
      <c r="N100" s="22">
        <f>IF(I100="Yes", J100-B100, "")</f>
        <v/>
      </c>
    </row>
    <row r="101">
      <c r="A101" s="20" t="inlineStr">
        <is>
          <t>LD-1076</t>
        </is>
      </c>
      <c r="B101" s="16" t="n">
        <v>46100</v>
      </c>
      <c r="C101" s="32" t="inlineStr">
        <is>
          <t>Summit Technologies</t>
        </is>
      </c>
      <c r="D101" s="32" t="inlineStr">
        <is>
          <t>info@summittechnologies.com</t>
        </is>
      </c>
      <c r="E101" s="20" t="inlineStr">
        <is>
          <t>LinkedIn</t>
        </is>
      </c>
      <c r="F101" s="20" t="inlineStr">
        <is>
          <t>Mid-Market</t>
        </is>
      </c>
      <c r="G101" s="20" t="inlineStr">
        <is>
          <t>Yes</t>
        </is>
      </c>
      <c r="H101" s="16" t="n">
        <v>46105</v>
      </c>
      <c r="I101" s="20" t="inlineStr">
        <is>
          <t>No</t>
        </is>
      </c>
      <c r="J101" s="16" t="n"/>
      <c r="K101" s="19" t="n">
        <v/>
      </c>
      <c r="L101" s="17">
        <f>IF(G101="Yes", H101-B101, "")</f>
        <v/>
      </c>
      <c r="M101" s="17">
        <f>IF(I101="Yes", J101-H101, "")</f>
        <v/>
      </c>
      <c r="N101" s="17">
        <f>IF(I101="Yes", J101-B101, "")</f>
        <v/>
      </c>
    </row>
    <row r="102">
      <c r="A102" s="25" t="inlineStr">
        <is>
          <t>LD-1028</t>
        </is>
      </c>
      <c r="B102" s="21" t="n">
        <v>46108</v>
      </c>
      <c r="C102" s="31" t="inlineStr">
        <is>
          <t>Core Solutions</t>
        </is>
      </c>
      <c r="D102" s="31" t="inlineStr">
        <is>
          <t>info@coresolutions.com</t>
        </is>
      </c>
      <c r="E102" s="25" t="inlineStr">
        <is>
          <t>Webinar</t>
        </is>
      </c>
      <c r="F102" s="25" t="inlineStr">
        <is>
          <t>Mid-Market</t>
        </is>
      </c>
      <c r="G102" s="25" t="inlineStr">
        <is>
          <t>Yes</t>
        </is>
      </c>
      <c r="H102" s="21" t="n">
        <v>46110</v>
      </c>
      <c r="I102" s="25" t="inlineStr">
        <is>
          <t>Yes</t>
        </is>
      </c>
      <c r="J102" s="21" t="n">
        <v>46118</v>
      </c>
      <c r="K102" s="24" t="n">
        <v>575</v>
      </c>
      <c r="L102" s="22">
        <f>IF(G102="Yes", H102-B102, "")</f>
        <v/>
      </c>
      <c r="M102" s="22">
        <f>IF(I102="Yes", J102-H102, "")</f>
        <v/>
      </c>
      <c r="N102" s="22">
        <f>IF(I102="Yes", J102-B102, "")</f>
        <v/>
      </c>
    </row>
    <row r="103">
      <c r="A103" s="20" t="inlineStr">
        <is>
          <t>LD-1378</t>
        </is>
      </c>
      <c r="B103" s="16" t="n">
        <v>46138</v>
      </c>
      <c r="C103" s="32" t="inlineStr">
        <is>
          <t>Flux Global</t>
        </is>
      </c>
      <c r="D103" s="32" t="inlineStr">
        <is>
          <t>info@fluxglobal.com</t>
        </is>
      </c>
      <c r="E103" s="20" t="inlineStr">
        <is>
          <t>Organic / Direct</t>
        </is>
      </c>
      <c r="F103" s="20" t="inlineStr">
        <is>
          <t>SMB</t>
        </is>
      </c>
      <c r="G103" s="20" t="inlineStr">
        <is>
          <t>Yes</t>
        </is>
      </c>
      <c r="H103" s="16" t="n">
        <v>46141</v>
      </c>
      <c r="I103" s="20" t="inlineStr">
        <is>
          <t>No</t>
        </is>
      </c>
      <c r="J103" s="16" t="n"/>
      <c r="K103" s="19" t="n">
        <v/>
      </c>
      <c r="L103" s="17">
        <f>IF(G103="Yes", H103-B103, "")</f>
        <v/>
      </c>
      <c r="M103" s="17">
        <f>IF(I103="Yes", J103-H103, "")</f>
        <v/>
      </c>
      <c r="N103" s="17">
        <f>IF(I103="Yes", J103-B103, "")</f>
        <v/>
      </c>
    </row>
    <row r="104">
      <c r="A104" s="25" t="inlineStr">
        <is>
          <t>LD-1338</t>
        </is>
      </c>
      <c r="B104" s="21" t="n">
        <v>46127</v>
      </c>
      <c r="C104" s="31" t="inlineStr">
        <is>
          <t>Summit Global</t>
        </is>
      </c>
      <c r="D104" s="31" t="inlineStr">
        <is>
          <t>info@summitglobal.com</t>
        </is>
      </c>
      <c r="E104" s="25" t="inlineStr">
        <is>
          <t>Google</t>
        </is>
      </c>
      <c r="F104" s="25" t="inlineStr">
        <is>
          <t>Enterprise</t>
        </is>
      </c>
      <c r="G104" s="25" t="inlineStr">
        <is>
          <t>Yes</t>
        </is>
      </c>
      <c r="H104" s="21" t="n">
        <v>46136</v>
      </c>
      <c r="I104" s="25" t="inlineStr">
        <is>
          <t>No</t>
        </is>
      </c>
      <c r="J104" s="21" t="n"/>
      <c r="K104" s="24" t="n">
        <v/>
      </c>
      <c r="L104" s="22">
        <f>IF(G104="Yes", H104-B104, "")</f>
        <v/>
      </c>
      <c r="M104" s="22">
        <f>IF(I104="Yes", J104-H104, "")</f>
        <v/>
      </c>
      <c r="N104" s="22">
        <f>IF(I104="Yes", J104-B104, "")</f>
        <v/>
      </c>
    </row>
    <row r="105">
      <c r="A105" s="20" t="inlineStr">
        <is>
          <t>LD-1489</t>
        </is>
      </c>
      <c r="B105" s="16" t="n">
        <v>46147</v>
      </c>
      <c r="C105" s="32" t="inlineStr">
        <is>
          <t>Core Partners</t>
        </is>
      </c>
      <c r="D105" s="32" t="inlineStr">
        <is>
          <t>info@corepartners.com</t>
        </is>
      </c>
      <c r="E105" s="20" t="inlineStr">
        <is>
          <t>Google</t>
        </is>
      </c>
      <c r="F105" s="20" t="inlineStr">
        <is>
          <t>SMB</t>
        </is>
      </c>
      <c r="G105" s="20" t="inlineStr">
        <is>
          <t>Yes</t>
        </is>
      </c>
      <c r="H105" s="16" t="n">
        <v>46155</v>
      </c>
      <c r="I105" s="20" t="inlineStr">
        <is>
          <t>No</t>
        </is>
      </c>
      <c r="J105" s="16" t="n"/>
      <c r="K105" s="19" t="n">
        <v/>
      </c>
      <c r="L105" s="17">
        <f>IF(G105="Yes", H105-B105, "")</f>
        <v/>
      </c>
      <c r="M105" s="17">
        <f>IF(I105="Yes", J105-H105, "")</f>
        <v/>
      </c>
      <c r="N105" s="17">
        <f>IF(I105="Yes", J105-B105, "")</f>
        <v/>
      </c>
    </row>
    <row r="106">
      <c r="A106" s="25" t="inlineStr">
        <is>
          <t>LD-1232</t>
        </is>
      </c>
      <c r="B106" s="21" t="n">
        <v>46119</v>
      </c>
      <c r="C106" s="31" t="inlineStr">
        <is>
          <t>Nova Corp</t>
        </is>
      </c>
      <c r="D106" s="31" t="inlineStr">
        <is>
          <t>info@novacorp.com</t>
        </is>
      </c>
      <c r="E106" s="25" t="inlineStr">
        <is>
          <t>Organic / Direct</t>
        </is>
      </c>
      <c r="F106" s="25" t="inlineStr">
        <is>
          <t>Enterprise</t>
        </is>
      </c>
      <c r="G106" s="25" t="inlineStr">
        <is>
          <t>Yes</t>
        </is>
      </c>
      <c r="H106" s="21" t="n">
        <v>46126</v>
      </c>
      <c r="I106" s="25" t="inlineStr">
        <is>
          <t>No</t>
        </is>
      </c>
      <c r="J106" s="21" t="n"/>
      <c r="K106" s="24" t="n">
        <v/>
      </c>
      <c r="L106" s="22">
        <f>IF(G106="Yes", H106-B106, "")</f>
        <v/>
      </c>
      <c r="M106" s="22">
        <f>IF(I106="Yes", J106-H106, "")</f>
        <v/>
      </c>
      <c r="N106" s="22">
        <f>IF(I106="Yes", J106-B106, "")</f>
        <v/>
      </c>
    </row>
    <row r="107">
      <c r="A107" s="20" t="inlineStr">
        <is>
          <t>LD-1433</t>
        </is>
      </c>
      <c r="B107" s="16" t="n">
        <v>46104</v>
      </c>
      <c r="C107" s="32" t="inlineStr">
        <is>
          <t>Vortex Global</t>
        </is>
      </c>
      <c r="D107" s="32" t="inlineStr">
        <is>
          <t>info@vortexglobal.com</t>
        </is>
      </c>
      <c r="E107" s="20" t="inlineStr">
        <is>
          <t>Google</t>
        </is>
      </c>
      <c r="F107" s="20" t="inlineStr">
        <is>
          <t>Enterprise</t>
        </is>
      </c>
      <c r="G107" s="20" t="inlineStr">
        <is>
          <t>Yes</t>
        </is>
      </c>
      <c r="H107" s="16" t="n">
        <v>46114</v>
      </c>
      <c r="I107" s="20" t="inlineStr">
        <is>
          <t>Yes</t>
        </is>
      </c>
      <c r="J107" s="16" t="n">
        <v>46130</v>
      </c>
      <c r="K107" s="19" t="n">
        <v>5127</v>
      </c>
      <c r="L107" s="17">
        <f>IF(G107="Yes", H107-B107, "")</f>
        <v/>
      </c>
      <c r="M107" s="17">
        <f>IF(I107="Yes", J107-H107, "")</f>
        <v/>
      </c>
      <c r="N107" s="17">
        <f>IF(I107="Yes", J107-B107, "")</f>
        <v/>
      </c>
    </row>
    <row r="108">
      <c r="A108" s="25" t="inlineStr">
        <is>
          <t>LD-1405</t>
        </is>
      </c>
      <c r="B108" s="21" t="n">
        <v>46130</v>
      </c>
      <c r="C108" s="31" t="inlineStr">
        <is>
          <t>Omega Co</t>
        </is>
      </c>
      <c r="D108" s="31" t="inlineStr">
        <is>
          <t>info@omegaco.com</t>
        </is>
      </c>
      <c r="E108" s="25" t="inlineStr">
        <is>
          <t>Organic / Direct</t>
        </is>
      </c>
      <c r="F108" s="25" t="inlineStr">
        <is>
          <t>Mid-Market</t>
        </is>
      </c>
      <c r="G108" s="25" t="inlineStr">
        <is>
          <t>No</t>
        </is>
      </c>
      <c r="H108" s="21" t="n"/>
      <c r="I108" s="25" t="inlineStr">
        <is>
          <t>No</t>
        </is>
      </c>
      <c r="J108" s="21" t="n"/>
      <c r="K108" s="24" t="n">
        <v/>
      </c>
      <c r="L108" s="22">
        <f>IF(G108="Yes", H108-B108, "")</f>
        <v/>
      </c>
      <c r="M108" s="22">
        <f>IF(I108="Yes", J108-H108, "")</f>
        <v/>
      </c>
      <c r="N108" s="22">
        <f>IF(I108="Yes", J108-B108, "")</f>
        <v/>
      </c>
    </row>
    <row r="109">
      <c r="A109" s="20" t="inlineStr">
        <is>
          <t>LD-1492</t>
        </is>
      </c>
      <c r="B109" s="16" t="n">
        <v>46117</v>
      </c>
      <c r="C109" s="32" t="inlineStr">
        <is>
          <t>Core LLC</t>
        </is>
      </c>
      <c r="D109" s="32" t="inlineStr">
        <is>
          <t>info@corellc.com</t>
        </is>
      </c>
      <c r="E109" s="20" t="inlineStr">
        <is>
          <t>Referral</t>
        </is>
      </c>
      <c r="F109" s="20" t="inlineStr">
        <is>
          <t>Enterprise</t>
        </is>
      </c>
      <c r="G109" s="20" t="inlineStr">
        <is>
          <t>No</t>
        </is>
      </c>
      <c r="H109" s="16" t="n"/>
      <c r="I109" s="20" t="inlineStr">
        <is>
          <t>No</t>
        </is>
      </c>
      <c r="J109" s="16" t="n"/>
      <c r="K109" s="19" t="n">
        <v/>
      </c>
      <c r="L109" s="17">
        <f>IF(G109="Yes", H109-B109, "")</f>
        <v/>
      </c>
      <c r="M109" s="17">
        <f>IF(I109="Yes", J109-H109, "")</f>
        <v/>
      </c>
      <c r="N109" s="17">
        <f>IF(I109="Yes", J109-B109, "")</f>
        <v/>
      </c>
    </row>
    <row r="110">
      <c r="A110" s="25" t="inlineStr">
        <is>
          <t>LD-1148</t>
        </is>
      </c>
      <c r="B110" s="21" t="n">
        <v>46112</v>
      </c>
      <c r="C110" s="31" t="inlineStr">
        <is>
          <t>Apex Solutions</t>
        </is>
      </c>
      <c r="D110" s="31" t="inlineStr">
        <is>
          <t>info@apexsolutions.com</t>
        </is>
      </c>
      <c r="E110" s="25" t="inlineStr">
        <is>
          <t>Referral</t>
        </is>
      </c>
      <c r="F110" s="25" t="inlineStr">
        <is>
          <t>SMB</t>
        </is>
      </c>
      <c r="G110" s="25" t="inlineStr">
        <is>
          <t>Yes</t>
        </is>
      </c>
      <c r="H110" s="21" t="n">
        <v>46120</v>
      </c>
      <c r="I110" s="25" t="inlineStr">
        <is>
          <t>No</t>
        </is>
      </c>
      <c r="J110" s="21" t="n"/>
      <c r="K110" s="24" t="n">
        <v/>
      </c>
      <c r="L110" s="22">
        <f>IF(G110="Yes", H110-B110, "")</f>
        <v/>
      </c>
      <c r="M110" s="22">
        <f>IF(I110="Yes", J110-H110, "")</f>
        <v/>
      </c>
      <c r="N110" s="22">
        <f>IF(I110="Yes", J110-B110, "")</f>
        <v/>
      </c>
    </row>
    <row r="111">
      <c r="A111" s="20" t="inlineStr">
        <is>
          <t>LD-1079</t>
        </is>
      </c>
      <c r="B111" s="16" t="n">
        <v>46137</v>
      </c>
      <c r="C111" s="32" t="inlineStr">
        <is>
          <t>Zenith Corp</t>
        </is>
      </c>
      <c r="D111" s="32" t="inlineStr">
        <is>
          <t>info@zenithcorp.com</t>
        </is>
      </c>
      <c r="E111" s="20" t="inlineStr">
        <is>
          <t>LinkedIn</t>
        </is>
      </c>
      <c r="F111" s="20" t="inlineStr">
        <is>
          <t>Enterprise</t>
        </is>
      </c>
      <c r="G111" s="20" t="inlineStr">
        <is>
          <t>Yes</t>
        </is>
      </c>
      <c r="H111" s="16" t="n">
        <v>46140</v>
      </c>
      <c r="I111" s="20" t="inlineStr">
        <is>
          <t>No</t>
        </is>
      </c>
      <c r="J111" s="16" t="n"/>
      <c r="K111" s="19" t="n">
        <v/>
      </c>
      <c r="L111" s="17">
        <f>IF(G111="Yes", H111-B111, "")</f>
        <v/>
      </c>
      <c r="M111" s="17">
        <f>IF(I111="Yes", J111-H111, "")</f>
        <v/>
      </c>
      <c r="N111" s="17">
        <f>IF(I111="Yes", J111-B111, "")</f>
        <v/>
      </c>
    </row>
    <row r="112">
      <c r="A112" s="25" t="inlineStr">
        <is>
          <t>LD-1082</t>
        </is>
      </c>
      <c r="B112" s="21" t="n">
        <v>46162</v>
      </c>
      <c r="C112" s="31" t="inlineStr">
        <is>
          <t>Apex Solutions</t>
        </is>
      </c>
      <c r="D112" s="31" t="inlineStr">
        <is>
          <t>info@apexsolutions.com</t>
        </is>
      </c>
      <c r="E112" s="25" t="inlineStr">
        <is>
          <t>LinkedIn</t>
        </is>
      </c>
      <c r="F112" s="25" t="inlineStr">
        <is>
          <t>Mid-Market</t>
        </is>
      </c>
      <c r="G112" s="25" t="inlineStr">
        <is>
          <t>No</t>
        </is>
      </c>
      <c r="H112" s="21" t="n"/>
      <c r="I112" s="25" t="inlineStr">
        <is>
          <t>No</t>
        </is>
      </c>
      <c r="J112" s="21" t="n"/>
      <c r="K112" s="24" t="n">
        <v/>
      </c>
      <c r="L112" s="22">
        <f>IF(G112="Yes", H112-B112, "")</f>
        <v/>
      </c>
      <c r="M112" s="22">
        <f>IF(I112="Yes", J112-H112, "")</f>
        <v/>
      </c>
      <c r="N112" s="22">
        <f>IF(I112="Yes", J112-B112, "")</f>
        <v/>
      </c>
    </row>
    <row r="113">
      <c r="A113" s="20" t="inlineStr">
        <is>
          <t>LD-1292</t>
        </is>
      </c>
      <c r="B113" s="16" t="n">
        <v>46156</v>
      </c>
      <c r="C113" s="32" t="inlineStr">
        <is>
          <t>Vortex Group</t>
        </is>
      </c>
      <c r="D113" s="32" t="inlineStr">
        <is>
          <t>info@vortexgroup.com</t>
        </is>
      </c>
      <c r="E113" s="20" t="inlineStr">
        <is>
          <t>Google</t>
        </is>
      </c>
      <c r="F113" s="20" t="inlineStr">
        <is>
          <t>Enterprise</t>
        </is>
      </c>
      <c r="G113" s="20" t="inlineStr">
        <is>
          <t>Yes</t>
        </is>
      </c>
      <c r="H113" s="16" t="n">
        <v>46160</v>
      </c>
      <c r="I113" s="20" t="inlineStr">
        <is>
          <t>No</t>
        </is>
      </c>
      <c r="J113" s="16" t="n"/>
      <c r="K113" s="19" t="n">
        <v/>
      </c>
      <c r="L113" s="17">
        <f>IF(G113="Yes", H113-B113, "")</f>
        <v/>
      </c>
      <c r="M113" s="17">
        <f>IF(I113="Yes", J113-H113, "")</f>
        <v/>
      </c>
      <c r="N113" s="17">
        <f>IF(I113="Yes", J113-B113, "")</f>
        <v/>
      </c>
    </row>
    <row r="114">
      <c r="A114" s="25" t="inlineStr">
        <is>
          <t>LD-1102</t>
        </is>
      </c>
      <c r="B114" s="21" t="n">
        <v>46115</v>
      </c>
      <c r="C114" s="31" t="inlineStr">
        <is>
          <t>Flux Corp</t>
        </is>
      </c>
      <c r="D114" s="31" t="inlineStr">
        <is>
          <t>info@fluxcorp.com</t>
        </is>
      </c>
      <c r="E114" s="25" t="inlineStr">
        <is>
          <t>Cold Outreach</t>
        </is>
      </c>
      <c r="F114" s="25" t="inlineStr">
        <is>
          <t>Enterprise</t>
        </is>
      </c>
      <c r="G114" s="25" t="inlineStr">
        <is>
          <t>Yes</t>
        </is>
      </c>
      <c r="H114" s="21" t="n">
        <v>46125</v>
      </c>
      <c r="I114" s="25" t="inlineStr">
        <is>
          <t>Yes</t>
        </is>
      </c>
      <c r="J114" s="21" t="n">
        <v>46132</v>
      </c>
      <c r="K114" s="24" t="n">
        <v>6803</v>
      </c>
      <c r="L114" s="22">
        <f>IF(G114="Yes", H114-B114, "")</f>
        <v/>
      </c>
      <c r="M114" s="22">
        <f>IF(I114="Yes", J114-H114, "")</f>
        <v/>
      </c>
      <c r="N114" s="22">
        <f>IF(I114="Yes", J114-B114, "")</f>
        <v/>
      </c>
    </row>
    <row r="115">
      <c r="A115" s="20" t="inlineStr">
        <is>
          <t>LD-1267</t>
        </is>
      </c>
      <c r="B115" s="16" t="n">
        <v>46103</v>
      </c>
      <c r="C115" s="32" t="inlineStr">
        <is>
          <t>Stellar Solutions</t>
        </is>
      </c>
      <c r="D115" s="32" t="inlineStr">
        <is>
          <t>info@stellarsolutions.com</t>
        </is>
      </c>
      <c r="E115" s="20" t="inlineStr">
        <is>
          <t>Google</t>
        </is>
      </c>
      <c r="F115" s="20" t="inlineStr">
        <is>
          <t>SMB</t>
        </is>
      </c>
      <c r="G115" s="20" t="inlineStr">
        <is>
          <t>Yes</t>
        </is>
      </c>
      <c r="H115" s="16" t="n">
        <v>46105</v>
      </c>
      <c r="I115" s="20" t="inlineStr">
        <is>
          <t>Yes</t>
        </is>
      </c>
      <c r="J115" s="16" t="n">
        <v>46117</v>
      </c>
      <c r="K115" s="19" t="n">
        <v>232</v>
      </c>
      <c r="L115" s="17">
        <f>IF(G115="Yes", H115-B115, "")</f>
        <v/>
      </c>
      <c r="M115" s="17">
        <f>IF(I115="Yes", J115-H115, "")</f>
        <v/>
      </c>
      <c r="N115" s="17">
        <f>IF(I115="Yes", J115-B115, "")</f>
        <v/>
      </c>
    </row>
    <row r="116">
      <c r="A116" s="25" t="inlineStr">
        <is>
          <t>LD-1425</t>
        </is>
      </c>
      <c r="B116" s="21" t="n">
        <v>46096</v>
      </c>
      <c r="C116" s="31" t="inlineStr">
        <is>
          <t>Beacon Global</t>
        </is>
      </c>
      <c r="D116" s="31" t="inlineStr">
        <is>
          <t>info@beaconglobal.com</t>
        </is>
      </c>
      <c r="E116" s="25" t="inlineStr">
        <is>
          <t>Organic / Direct</t>
        </is>
      </c>
      <c r="F116" s="25" t="inlineStr">
        <is>
          <t>Mid-Market</t>
        </is>
      </c>
      <c r="G116" s="25" t="inlineStr">
        <is>
          <t>No</t>
        </is>
      </c>
      <c r="H116" s="21" t="n"/>
      <c r="I116" s="25" t="inlineStr">
        <is>
          <t>No</t>
        </is>
      </c>
      <c r="J116" s="21" t="n"/>
      <c r="K116" s="24" t="n">
        <v/>
      </c>
      <c r="L116" s="22">
        <f>IF(G116="Yes", H116-B116, "")</f>
        <v/>
      </c>
      <c r="M116" s="22">
        <f>IF(I116="Yes", J116-H116, "")</f>
        <v/>
      </c>
      <c r="N116" s="22">
        <f>IF(I116="Yes", J116-B116, "")</f>
        <v/>
      </c>
    </row>
    <row r="117">
      <c r="A117" s="20" t="inlineStr">
        <is>
          <t>LD-1144</t>
        </is>
      </c>
      <c r="B117" s="16" t="n">
        <v>46114</v>
      </c>
      <c r="C117" s="32" t="inlineStr">
        <is>
          <t>Zenith Co</t>
        </is>
      </c>
      <c r="D117" s="32" t="inlineStr">
        <is>
          <t>info@zenithco.com</t>
        </is>
      </c>
      <c r="E117" s="20" t="inlineStr">
        <is>
          <t>Cold Outreach</t>
        </is>
      </c>
      <c r="F117" s="20" t="inlineStr">
        <is>
          <t>SMB</t>
        </is>
      </c>
      <c r="G117" s="20" t="inlineStr">
        <is>
          <t>Yes</t>
        </is>
      </c>
      <c r="H117" s="16" t="n">
        <v>46117</v>
      </c>
      <c r="I117" s="20" t="inlineStr">
        <is>
          <t>Yes</t>
        </is>
      </c>
      <c r="J117" s="16" t="n">
        <v>46126</v>
      </c>
      <c r="K117" s="19" t="n">
        <v>211</v>
      </c>
      <c r="L117" s="17">
        <f>IF(G117="Yes", H117-B117, "")</f>
        <v/>
      </c>
      <c r="M117" s="17">
        <f>IF(I117="Yes", J117-H117, "")</f>
        <v/>
      </c>
      <c r="N117" s="17">
        <f>IF(I117="Yes", J117-B117, "")</f>
        <v/>
      </c>
    </row>
    <row r="118">
      <c r="A118" s="25" t="inlineStr">
        <is>
          <t>LD-1187</t>
        </is>
      </c>
      <c r="B118" s="21" t="n">
        <v>46164</v>
      </c>
      <c r="C118" s="31" t="inlineStr">
        <is>
          <t>Beacon Partners</t>
        </is>
      </c>
      <c r="D118" s="31" t="inlineStr">
        <is>
          <t>info@beaconpartners.com</t>
        </is>
      </c>
      <c r="E118" s="25" t="inlineStr">
        <is>
          <t>Cold Outreach</t>
        </is>
      </c>
      <c r="F118" s="25" t="inlineStr">
        <is>
          <t>Mid-Market</t>
        </is>
      </c>
      <c r="G118" s="25" t="inlineStr">
        <is>
          <t>Yes</t>
        </is>
      </c>
      <c r="H118" s="21" t="n">
        <v>46169</v>
      </c>
      <c r="I118" s="25" t="inlineStr">
        <is>
          <t>No</t>
        </is>
      </c>
      <c r="J118" s="21" t="n"/>
      <c r="K118" s="24" t="n">
        <v/>
      </c>
      <c r="L118" s="22">
        <f>IF(G118="Yes", H118-B118, "")</f>
        <v/>
      </c>
      <c r="M118" s="22">
        <f>IF(I118="Yes", J118-H118, "")</f>
        <v/>
      </c>
      <c r="N118" s="22">
        <f>IF(I118="Yes", J118-B118, "")</f>
        <v/>
      </c>
    </row>
    <row r="119">
      <c r="A119" s="20" t="inlineStr">
        <is>
          <t>LD-1507</t>
        </is>
      </c>
      <c r="B119" s="16" t="n">
        <v>46145</v>
      </c>
      <c r="C119" s="32" t="inlineStr">
        <is>
          <t>Acme Partners</t>
        </is>
      </c>
      <c r="D119" s="32" t="inlineStr">
        <is>
          <t>info@acmepartners.com</t>
        </is>
      </c>
      <c r="E119" s="20" t="inlineStr">
        <is>
          <t>Referral</t>
        </is>
      </c>
      <c r="F119" s="20" t="inlineStr">
        <is>
          <t>Mid-Market</t>
        </is>
      </c>
      <c r="G119" s="20" t="inlineStr">
        <is>
          <t>Yes</t>
        </is>
      </c>
      <c r="H119" s="16" t="n">
        <v>46147</v>
      </c>
      <c r="I119" s="20" t="inlineStr">
        <is>
          <t>No</t>
        </is>
      </c>
      <c r="J119" s="16" t="n"/>
      <c r="K119" s="19" t="n">
        <v/>
      </c>
      <c r="L119" s="17">
        <f>IF(G119="Yes", H119-B119, "")</f>
        <v/>
      </c>
      <c r="M119" s="17">
        <f>IF(I119="Yes", J119-H119, "")</f>
        <v/>
      </c>
      <c r="N119" s="17">
        <f>IF(I119="Yes", J119-B119, "")</f>
        <v/>
      </c>
    </row>
    <row r="120">
      <c r="A120" s="25" t="inlineStr">
        <is>
          <t>LD-1520</t>
        </is>
      </c>
      <c r="B120" s="21" t="n">
        <v>46134</v>
      </c>
      <c r="C120" s="31" t="inlineStr">
        <is>
          <t>Cloud Technologies</t>
        </is>
      </c>
      <c r="D120" s="31" t="inlineStr">
        <is>
          <t>info@cloudtechnologies.com</t>
        </is>
      </c>
      <c r="E120" s="25" t="inlineStr">
        <is>
          <t>Cold Outreach</t>
        </is>
      </c>
      <c r="F120" s="25" t="inlineStr">
        <is>
          <t>Enterprise</t>
        </is>
      </c>
      <c r="G120" s="25" t="inlineStr">
        <is>
          <t>Yes</t>
        </is>
      </c>
      <c r="H120" s="21" t="n">
        <v>46144</v>
      </c>
      <c r="I120" s="25" t="inlineStr">
        <is>
          <t>No</t>
        </is>
      </c>
      <c r="J120" s="21" t="n"/>
      <c r="K120" s="24" t="n">
        <v/>
      </c>
      <c r="L120" s="22">
        <f>IF(G120="Yes", H120-B120, "")</f>
        <v/>
      </c>
      <c r="M120" s="22">
        <f>IF(I120="Yes", J120-H120, "")</f>
        <v/>
      </c>
      <c r="N120" s="22">
        <f>IF(I120="Yes", J120-B120, "")</f>
        <v/>
      </c>
    </row>
    <row r="121">
      <c r="A121" s="20" t="inlineStr">
        <is>
          <t>LD-1343</t>
        </is>
      </c>
      <c r="B121" s="16" t="n">
        <v>46102</v>
      </c>
      <c r="C121" s="32" t="inlineStr">
        <is>
          <t>Nova Group</t>
        </is>
      </c>
      <c r="D121" s="32" t="inlineStr">
        <is>
          <t>info@novagroup.com</t>
        </is>
      </c>
      <c r="E121" s="20" t="inlineStr">
        <is>
          <t>Referral</t>
        </is>
      </c>
      <c r="F121" s="20" t="inlineStr">
        <is>
          <t>Mid-Market</t>
        </is>
      </c>
      <c r="G121" s="20" t="inlineStr">
        <is>
          <t>No</t>
        </is>
      </c>
      <c r="H121" s="16" t="n"/>
      <c r="I121" s="20" t="inlineStr">
        <is>
          <t>No</t>
        </is>
      </c>
      <c r="J121" s="16" t="n"/>
      <c r="K121" s="19" t="n">
        <v/>
      </c>
      <c r="L121" s="17">
        <f>IF(G121="Yes", H121-B121, "")</f>
        <v/>
      </c>
      <c r="M121" s="17">
        <f>IF(I121="Yes", J121-H121, "")</f>
        <v/>
      </c>
      <c r="N121" s="17">
        <f>IF(I121="Yes", J121-B121, "")</f>
        <v/>
      </c>
    </row>
    <row r="122">
      <c r="A122" s="25" t="inlineStr">
        <is>
          <t>LD-1322</t>
        </is>
      </c>
      <c r="B122" s="21" t="n">
        <v>46162</v>
      </c>
      <c r="C122" s="31" t="inlineStr">
        <is>
          <t>Bold Technologies</t>
        </is>
      </c>
      <c r="D122" s="31" t="inlineStr">
        <is>
          <t>info@boldtechnologies.com</t>
        </is>
      </c>
      <c r="E122" s="25" t="inlineStr">
        <is>
          <t>Organic / Direct</t>
        </is>
      </c>
      <c r="F122" s="25" t="inlineStr">
        <is>
          <t>SMB</t>
        </is>
      </c>
      <c r="G122" s="25" t="inlineStr">
        <is>
          <t>Yes</t>
        </is>
      </c>
      <c r="H122" s="21" t="n">
        <v>46171</v>
      </c>
      <c r="I122" s="25" t="inlineStr">
        <is>
          <t>No</t>
        </is>
      </c>
      <c r="J122" s="21" t="n"/>
      <c r="K122" s="24" t="n">
        <v/>
      </c>
      <c r="L122" s="22">
        <f>IF(G122="Yes", H122-B122, "")</f>
        <v/>
      </c>
      <c r="M122" s="22">
        <f>IF(I122="Yes", J122-H122, "")</f>
        <v/>
      </c>
      <c r="N122" s="22">
        <f>IF(I122="Yes", J122-B122, "")</f>
        <v/>
      </c>
    </row>
    <row r="123">
      <c r="A123" s="20" t="inlineStr">
        <is>
          <t>LD-1390</t>
        </is>
      </c>
      <c r="B123" s="16" t="n">
        <v>46093</v>
      </c>
      <c r="C123" s="32" t="inlineStr">
        <is>
          <t>Alpha LLC</t>
        </is>
      </c>
      <c r="D123" s="32" t="inlineStr">
        <is>
          <t>info@alphallc.com</t>
        </is>
      </c>
      <c r="E123" s="20" t="inlineStr">
        <is>
          <t>Referral</t>
        </is>
      </c>
      <c r="F123" s="20" t="inlineStr">
        <is>
          <t>SMB</t>
        </is>
      </c>
      <c r="G123" s="20" t="inlineStr">
        <is>
          <t>Yes</t>
        </is>
      </c>
      <c r="H123" s="16" t="n">
        <v>46096</v>
      </c>
      <c r="I123" s="20" t="inlineStr">
        <is>
          <t>No</t>
        </is>
      </c>
      <c r="J123" s="16" t="n"/>
      <c r="K123" s="19" t="n">
        <v/>
      </c>
      <c r="L123" s="17">
        <f>IF(G123="Yes", H123-B123, "")</f>
        <v/>
      </c>
      <c r="M123" s="17">
        <f>IF(I123="Yes", J123-H123, "")</f>
        <v/>
      </c>
      <c r="N123" s="17">
        <f>IF(I123="Yes", J123-B123, "")</f>
        <v/>
      </c>
    </row>
    <row r="124">
      <c r="A124" s="25" t="inlineStr">
        <is>
          <t>LD-1505</t>
        </is>
      </c>
      <c r="B124" s="21" t="n">
        <v>46160</v>
      </c>
      <c r="C124" s="31" t="inlineStr">
        <is>
          <t>Omega Inc</t>
        </is>
      </c>
      <c r="D124" s="31" t="inlineStr">
        <is>
          <t>info@omegainc.com</t>
        </is>
      </c>
      <c r="E124" s="25" t="inlineStr">
        <is>
          <t>Cold Outreach</t>
        </is>
      </c>
      <c r="F124" s="25" t="inlineStr">
        <is>
          <t>Enterprise</t>
        </is>
      </c>
      <c r="G124" s="25" t="inlineStr">
        <is>
          <t>No</t>
        </is>
      </c>
      <c r="H124" s="21" t="n"/>
      <c r="I124" s="25" t="inlineStr">
        <is>
          <t>No</t>
        </is>
      </c>
      <c r="J124" s="21" t="n"/>
      <c r="K124" s="24" t="n">
        <v/>
      </c>
      <c r="L124" s="22">
        <f>IF(G124="Yes", H124-B124, "")</f>
        <v/>
      </c>
      <c r="M124" s="22">
        <f>IF(I124="Yes", J124-H124, "")</f>
        <v/>
      </c>
      <c r="N124" s="22">
        <f>IF(I124="Yes", J124-B124, "")</f>
        <v/>
      </c>
    </row>
    <row r="125">
      <c r="A125" s="20" t="inlineStr">
        <is>
          <t>LD-1060</t>
        </is>
      </c>
      <c r="B125" s="16" t="n">
        <v>46154</v>
      </c>
      <c r="C125" s="32" t="inlineStr">
        <is>
          <t>Flux Global</t>
        </is>
      </c>
      <c r="D125" s="32" t="inlineStr">
        <is>
          <t>info@fluxglobal.com</t>
        </is>
      </c>
      <c r="E125" s="20" t="inlineStr">
        <is>
          <t>Cold Outreach</t>
        </is>
      </c>
      <c r="F125" s="20" t="inlineStr">
        <is>
          <t>Enterprise</t>
        </is>
      </c>
      <c r="G125" s="20" t="inlineStr">
        <is>
          <t>Yes</t>
        </is>
      </c>
      <c r="H125" s="16" t="n">
        <v>46161</v>
      </c>
      <c r="I125" s="20" t="inlineStr">
        <is>
          <t>No</t>
        </is>
      </c>
      <c r="J125" s="16" t="n"/>
      <c r="K125" s="19" t="n">
        <v/>
      </c>
      <c r="L125" s="17">
        <f>IF(G125="Yes", H125-B125, "")</f>
        <v/>
      </c>
      <c r="M125" s="17">
        <f>IF(I125="Yes", J125-H125, "")</f>
        <v/>
      </c>
      <c r="N125" s="17">
        <f>IF(I125="Yes", J125-B125, "")</f>
        <v/>
      </c>
    </row>
    <row r="126">
      <c r="A126" s="25" t="inlineStr">
        <is>
          <t>LD-1281</t>
        </is>
      </c>
      <c r="B126" s="21" t="n">
        <v>46085</v>
      </c>
      <c r="C126" s="31" t="inlineStr">
        <is>
          <t>Helix Technologies</t>
        </is>
      </c>
      <c r="D126" s="31" t="inlineStr">
        <is>
          <t>info@helixtechnologies.com</t>
        </is>
      </c>
      <c r="E126" s="25" t="inlineStr">
        <is>
          <t>Cold Outreach</t>
        </is>
      </c>
      <c r="F126" s="25" t="inlineStr">
        <is>
          <t>Enterprise</t>
        </is>
      </c>
      <c r="G126" s="25" t="inlineStr">
        <is>
          <t>Yes</t>
        </is>
      </c>
      <c r="H126" s="21" t="n">
        <v>46093</v>
      </c>
      <c r="I126" s="25" t="inlineStr">
        <is>
          <t>No</t>
        </is>
      </c>
      <c r="J126" s="21" t="n"/>
      <c r="K126" s="24" t="n">
        <v/>
      </c>
      <c r="L126" s="22">
        <f>IF(G126="Yes", H126-B126, "")</f>
        <v/>
      </c>
      <c r="M126" s="22">
        <f>IF(I126="Yes", J126-H126, "")</f>
        <v/>
      </c>
      <c r="N126" s="22">
        <f>IF(I126="Yes", J126-B126, "")</f>
        <v/>
      </c>
    </row>
    <row r="127">
      <c r="A127" s="20" t="inlineStr">
        <is>
          <t>LD-1015</t>
        </is>
      </c>
      <c r="B127" s="16" t="n">
        <v>46092</v>
      </c>
      <c r="C127" s="32" t="inlineStr">
        <is>
          <t>Zenith Corp</t>
        </is>
      </c>
      <c r="D127" s="32" t="inlineStr">
        <is>
          <t>info@zenithcorp.com</t>
        </is>
      </c>
      <c r="E127" s="20" t="inlineStr">
        <is>
          <t>Google</t>
        </is>
      </c>
      <c r="F127" s="20" t="inlineStr">
        <is>
          <t>SMB</t>
        </is>
      </c>
      <c r="G127" s="20" t="inlineStr">
        <is>
          <t>No</t>
        </is>
      </c>
      <c r="H127" s="16" t="n"/>
      <c r="I127" s="20" t="inlineStr">
        <is>
          <t>No</t>
        </is>
      </c>
      <c r="J127" s="16" t="n"/>
      <c r="K127" s="19" t="n">
        <v/>
      </c>
      <c r="L127" s="17">
        <f>IF(G127="Yes", H127-B127, "")</f>
        <v/>
      </c>
      <c r="M127" s="17">
        <f>IF(I127="Yes", J127-H127, "")</f>
        <v/>
      </c>
      <c r="N127" s="17">
        <f>IF(I127="Yes", J127-B127, "")</f>
        <v/>
      </c>
    </row>
    <row r="128">
      <c r="A128" s="25" t="inlineStr">
        <is>
          <t>LD-1416</t>
        </is>
      </c>
      <c r="B128" s="21" t="n">
        <v>46130</v>
      </c>
      <c r="C128" s="31" t="inlineStr">
        <is>
          <t>Core LLC</t>
        </is>
      </c>
      <c r="D128" s="31" t="inlineStr">
        <is>
          <t>info@corellc.com</t>
        </is>
      </c>
      <c r="E128" s="25" t="inlineStr">
        <is>
          <t>Webinar</t>
        </is>
      </c>
      <c r="F128" s="25" t="inlineStr">
        <is>
          <t>Enterprise</t>
        </is>
      </c>
      <c r="G128" s="25" t="inlineStr">
        <is>
          <t>Yes</t>
        </is>
      </c>
      <c r="H128" s="21" t="n">
        <v>46139</v>
      </c>
      <c r="I128" s="25" t="inlineStr">
        <is>
          <t>No</t>
        </is>
      </c>
      <c r="J128" s="21" t="n"/>
      <c r="K128" s="24" t="n">
        <v/>
      </c>
      <c r="L128" s="22">
        <f>IF(G128="Yes", H128-B128, "")</f>
        <v/>
      </c>
      <c r="M128" s="22">
        <f>IF(I128="Yes", J128-H128, "")</f>
        <v/>
      </c>
      <c r="N128" s="22">
        <f>IF(I128="Yes", J128-B128, "")</f>
        <v/>
      </c>
    </row>
    <row r="129">
      <c r="A129" s="20" t="inlineStr">
        <is>
          <t>LD-1457</t>
        </is>
      </c>
      <c r="B129" s="16" t="n">
        <v>46142</v>
      </c>
      <c r="C129" s="32" t="inlineStr">
        <is>
          <t>Stellar Co</t>
        </is>
      </c>
      <c r="D129" s="32" t="inlineStr">
        <is>
          <t>info@stellarco.com</t>
        </is>
      </c>
      <c r="E129" s="20" t="inlineStr">
        <is>
          <t>Organic / Direct</t>
        </is>
      </c>
      <c r="F129" s="20" t="inlineStr">
        <is>
          <t>Enterprise</t>
        </is>
      </c>
      <c r="G129" s="20" t="inlineStr">
        <is>
          <t>Yes</t>
        </is>
      </c>
      <c r="H129" s="16" t="n">
        <v>46147</v>
      </c>
      <c r="I129" s="20" t="inlineStr">
        <is>
          <t>No</t>
        </is>
      </c>
      <c r="J129" s="16" t="n"/>
      <c r="K129" s="19" t="n">
        <v/>
      </c>
      <c r="L129" s="17">
        <f>IF(G129="Yes", H129-B129, "")</f>
        <v/>
      </c>
      <c r="M129" s="17">
        <f>IF(I129="Yes", J129-H129, "")</f>
        <v/>
      </c>
      <c r="N129" s="17">
        <f>IF(I129="Yes", J129-B129, "")</f>
        <v/>
      </c>
    </row>
    <row r="130">
      <c r="A130" s="25" t="inlineStr">
        <is>
          <t>LD-1016</t>
        </is>
      </c>
      <c r="B130" s="21" t="n">
        <v>46152</v>
      </c>
      <c r="C130" s="31" t="inlineStr">
        <is>
          <t>Cloud LLC</t>
        </is>
      </c>
      <c r="D130" s="31" t="inlineStr">
        <is>
          <t>info@cloudllc.com</t>
        </is>
      </c>
      <c r="E130" s="25" t="inlineStr">
        <is>
          <t>Organic / Direct</t>
        </is>
      </c>
      <c r="F130" s="25" t="inlineStr">
        <is>
          <t>Enterprise</t>
        </is>
      </c>
      <c r="G130" s="25" t="inlineStr">
        <is>
          <t>No</t>
        </is>
      </c>
      <c r="H130" s="21" t="n"/>
      <c r="I130" s="25" t="inlineStr">
        <is>
          <t>No</t>
        </is>
      </c>
      <c r="J130" s="21" t="n"/>
      <c r="K130" s="24" t="n">
        <v/>
      </c>
      <c r="L130" s="22">
        <f>IF(G130="Yes", H130-B130, "")</f>
        <v/>
      </c>
      <c r="M130" s="22">
        <f>IF(I130="Yes", J130-H130, "")</f>
        <v/>
      </c>
      <c r="N130" s="22">
        <f>IF(I130="Yes", J130-B130, "")</f>
        <v/>
      </c>
    </row>
    <row r="131">
      <c r="A131" s="20" t="inlineStr">
        <is>
          <t>LD-1525</t>
        </is>
      </c>
      <c r="B131" s="16" t="n">
        <v>46149</v>
      </c>
      <c r="C131" s="32" t="inlineStr">
        <is>
          <t>Core Group</t>
        </is>
      </c>
      <c r="D131" s="32" t="inlineStr">
        <is>
          <t>info@coregroup.com</t>
        </is>
      </c>
      <c r="E131" s="20" t="inlineStr">
        <is>
          <t>Cold Outreach</t>
        </is>
      </c>
      <c r="F131" s="20" t="inlineStr">
        <is>
          <t>Enterprise</t>
        </is>
      </c>
      <c r="G131" s="20" t="inlineStr">
        <is>
          <t>No</t>
        </is>
      </c>
      <c r="H131" s="16" t="n"/>
      <c r="I131" s="20" t="inlineStr">
        <is>
          <t>No</t>
        </is>
      </c>
      <c r="J131" s="16" t="n"/>
      <c r="K131" s="19" t="n">
        <v/>
      </c>
      <c r="L131" s="17">
        <f>IF(G131="Yes", H131-B131, "")</f>
        <v/>
      </c>
      <c r="M131" s="17">
        <f>IF(I131="Yes", J131-H131, "")</f>
        <v/>
      </c>
      <c r="N131" s="17">
        <f>IF(I131="Yes", J131-B131, "")</f>
        <v/>
      </c>
    </row>
    <row r="132">
      <c r="A132" s="25" t="inlineStr">
        <is>
          <t>LD-1243</t>
        </is>
      </c>
      <c r="B132" s="21" t="n">
        <v>46150</v>
      </c>
      <c r="C132" s="31" t="inlineStr">
        <is>
          <t>Nova Corp</t>
        </is>
      </c>
      <c r="D132" s="31" t="inlineStr">
        <is>
          <t>info@novacorp.com</t>
        </is>
      </c>
      <c r="E132" s="25" t="inlineStr">
        <is>
          <t>LinkedIn</t>
        </is>
      </c>
      <c r="F132" s="25" t="inlineStr">
        <is>
          <t>SMB</t>
        </is>
      </c>
      <c r="G132" s="25" t="inlineStr">
        <is>
          <t>Yes</t>
        </is>
      </c>
      <c r="H132" s="21" t="n">
        <v>46151</v>
      </c>
      <c r="I132" s="25" t="inlineStr">
        <is>
          <t>No</t>
        </is>
      </c>
      <c r="J132" s="21" t="n"/>
      <c r="K132" s="24" t="n">
        <v/>
      </c>
      <c r="L132" s="22">
        <f>IF(G132="Yes", H132-B132, "")</f>
        <v/>
      </c>
      <c r="M132" s="22">
        <f>IF(I132="Yes", J132-H132, "")</f>
        <v/>
      </c>
      <c r="N132" s="22">
        <f>IF(I132="Yes", J132-B132, "")</f>
        <v/>
      </c>
    </row>
    <row r="133">
      <c r="A133" s="20" t="inlineStr">
        <is>
          <t>LD-1413</t>
        </is>
      </c>
      <c r="B133" s="16" t="n">
        <v>46151</v>
      </c>
      <c r="C133" s="32" t="inlineStr">
        <is>
          <t>Helix Global</t>
        </is>
      </c>
      <c r="D133" s="32" t="inlineStr">
        <is>
          <t>info@helixglobal.com</t>
        </is>
      </c>
      <c r="E133" s="20" t="inlineStr">
        <is>
          <t>Organic / Direct</t>
        </is>
      </c>
      <c r="F133" s="20" t="inlineStr">
        <is>
          <t>Enterprise</t>
        </is>
      </c>
      <c r="G133" s="20" t="inlineStr">
        <is>
          <t>Yes</t>
        </is>
      </c>
      <c r="H133" s="16" t="n">
        <v>46159</v>
      </c>
      <c r="I133" s="20" t="inlineStr">
        <is>
          <t>No</t>
        </is>
      </c>
      <c r="J133" s="16" t="n"/>
      <c r="K133" s="19" t="n">
        <v/>
      </c>
      <c r="L133" s="17">
        <f>IF(G133="Yes", H133-B133, "")</f>
        <v/>
      </c>
      <c r="M133" s="17">
        <f>IF(I133="Yes", J133-H133, "")</f>
        <v/>
      </c>
      <c r="N133" s="17">
        <f>IF(I133="Yes", J133-B133, "")</f>
        <v/>
      </c>
    </row>
    <row r="134">
      <c r="A134" s="25" t="inlineStr">
        <is>
          <t>LD-1282</t>
        </is>
      </c>
      <c r="B134" s="21" t="n">
        <v>46089</v>
      </c>
      <c r="C134" s="31" t="inlineStr">
        <is>
          <t>Shift Group</t>
        </is>
      </c>
      <c r="D134" s="31" t="inlineStr">
        <is>
          <t>info@shiftgroup.com</t>
        </is>
      </c>
      <c r="E134" s="25" t="inlineStr">
        <is>
          <t>Google</t>
        </is>
      </c>
      <c r="F134" s="25" t="inlineStr">
        <is>
          <t>Enterprise</t>
        </is>
      </c>
      <c r="G134" s="25" t="inlineStr">
        <is>
          <t>No</t>
        </is>
      </c>
      <c r="H134" s="21" t="n"/>
      <c r="I134" s="25" t="inlineStr">
        <is>
          <t>No</t>
        </is>
      </c>
      <c r="J134" s="21" t="n"/>
      <c r="K134" s="24" t="n">
        <v/>
      </c>
      <c r="L134" s="22">
        <f>IF(G134="Yes", H134-B134, "")</f>
        <v/>
      </c>
      <c r="M134" s="22">
        <f>IF(I134="Yes", J134-H134, "")</f>
        <v/>
      </c>
      <c r="N134" s="22">
        <f>IF(I134="Yes", J134-B134, "")</f>
        <v/>
      </c>
    </row>
    <row r="135">
      <c r="A135" s="20" t="inlineStr">
        <is>
          <t>LD-1239</t>
        </is>
      </c>
      <c r="B135" s="16" t="n">
        <v>46107</v>
      </c>
      <c r="C135" s="32" t="inlineStr">
        <is>
          <t>Summit LLC</t>
        </is>
      </c>
      <c r="D135" s="32" t="inlineStr">
        <is>
          <t>info@summitllc.com</t>
        </is>
      </c>
      <c r="E135" s="20" t="inlineStr">
        <is>
          <t>Organic / Direct</t>
        </is>
      </c>
      <c r="F135" s="20" t="inlineStr">
        <is>
          <t>Enterprise</t>
        </is>
      </c>
      <c r="G135" s="20" t="inlineStr">
        <is>
          <t>Yes</t>
        </is>
      </c>
      <c r="H135" s="16" t="n">
        <v>46117</v>
      </c>
      <c r="I135" s="20" t="inlineStr">
        <is>
          <t>No</t>
        </is>
      </c>
      <c r="J135" s="16" t="n"/>
      <c r="K135" s="19" t="n">
        <v/>
      </c>
      <c r="L135" s="17">
        <f>IF(G135="Yes", H135-B135, "")</f>
        <v/>
      </c>
      <c r="M135" s="17">
        <f>IF(I135="Yes", J135-H135, "")</f>
        <v/>
      </c>
      <c r="N135" s="17">
        <f>IF(I135="Yes", J135-B135, "")</f>
        <v/>
      </c>
    </row>
    <row r="136">
      <c r="A136" s="25" t="inlineStr">
        <is>
          <t>LD-1257</t>
        </is>
      </c>
      <c r="B136" s="21" t="n">
        <v>46116</v>
      </c>
      <c r="C136" s="31" t="inlineStr">
        <is>
          <t>Flux Global</t>
        </is>
      </c>
      <c r="D136" s="31" t="inlineStr">
        <is>
          <t>info@fluxglobal.com</t>
        </is>
      </c>
      <c r="E136" s="25" t="inlineStr">
        <is>
          <t>Organic / Direct</t>
        </is>
      </c>
      <c r="F136" s="25" t="inlineStr">
        <is>
          <t>Mid-Market</t>
        </is>
      </c>
      <c r="G136" s="25" t="inlineStr">
        <is>
          <t>Yes</t>
        </is>
      </c>
      <c r="H136" s="21" t="n">
        <v>46123</v>
      </c>
      <c r="I136" s="25" t="inlineStr">
        <is>
          <t>Yes</t>
        </is>
      </c>
      <c r="J136" s="21" t="n">
        <v>46135</v>
      </c>
      <c r="K136" s="24" t="n">
        <v>804</v>
      </c>
      <c r="L136" s="22">
        <f>IF(G136="Yes", H136-B136, "")</f>
        <v/>
      </c>
      <c r="M136" s="22">
        <f>IF(I136="Yes", J136-H136, "")</f>
        <v/>
      </c>
      <c r="N136" s="22">
        <f>IF(I136="Yes", J136-B136, "")</f>
        <v/>
      </c>
    </row>
    <row r="137">
      <c r="A137" s="20" t="inlineStr">
        <is>
          <t>LD-1204</t>
        </is>
      </c>
      <c r="B137" s="16" t="n">
        <v>46089</v>
      </c>
      <c r="C137" s="32" t="inlineStr">
        <is>
          <t>Cloud LLC</t>
        </is>
      </c>
      <c r="D137" s="32" t="inlineStr">
        <is>
          <t>info@cloudllc.com</t>
        </is>
      </c>
      <c r="E137" s="20" t="inlineStr">
        <is>
          <t>Referral</t>
        </is>
      </c>
      <c r="F137" s="20" t="inlineStr">
        <is>
          <t>Enterprise</t>
        </is>
      </c>
      <c r="G137" s="20" t="inlineStr">
        <is>
          <t>No</t>
        </is>
      </c>
      <c r="H137" s="16" t="n"/>
      <c r="I137" s="20" t="inlineStr">
        <is>
          <t>No</t>
        </is>
      </c>
      <c r="J137" s="16" t="n"/>
      <c r="K137" s="19" t="n">
        <v/>
      </c>
      <c r="L137" s="17">
        <f>IF(G137="Yes", H137-B137, "")</f>
        <v/>
      </c>
      <c r="M137" s="17">
        <f>IF(I137="Yes", J137-H137, "")</f>
        <v/>
      </c>
      <c r="N137" s="17">
        <f>IF(I137="Yes", J137-B137, "")</f>
        <v/>
      </c>
    </row>
    <row r="138">
      <c r="A138" s="25" t="inlineStr">
        <is>
          <t>LD-1118</t>
        </is>
      </c>
      <c r="B138" s="21" t="n">
        <v>46136</v>
      </c>
      <c r="C138" s="31" t="inlineStr">
        <is>
          <t>Bold Technologies</t>
        </is>
      </c>
      <c r="D138" s="31" t="inlineStr">
        <is>
          <t>info@boldtechnologies.com</t>
        </is>
      </c>
      <c r="E138" s="25" t="inlineStr">
        <is>
          <t>LinkedIn</t>
        </is>
      </c>
      <c r="F138" s="25" t="inlineStr">
        <is>
          <t>SMB</t>
        </is>
      </c>
      <c r="G138" s="25" t="inlineStr">
        <is>
          <t>No</t>
        </is>
      </c>
      <c r="H138" s="21" t="n"/>
      <c r="I138" s="25" t="inlineStr">
        <is>
          <t>No</t>
        </is>
      </c>
      <c r="J138" s="21" t="n"/>
      <c r="K138" s="24" t="n">
        <v/>
      </c>
      <c r="L138" s="22">
        <f>IF(G138="Yes", H138-B138, "")</f>
        <v/>
      </c>
      <c r="M138" s="22">
        <f>IF(I138="Yes", J138-H138, "")</f>
        <v/>
      </c>
      <c r="N138" s="22">
        <f>IF(I138="Yes", J138-B138, "")</f>
        <v/>
      </c>
    </row>
    <row r="139">
      <c r="A139" s="20" t="inlineStr">
        <is>
          <t>LD-1035</t>
        </is>
      </c>
      <c r="B139" s="16" t="n">
        <v>46127</v>
      </c>
      <c r="C139" s="32" t="inlineStr">
        <is>
          <t>Helix Group</t>
        </is>
      </c>
      <c r="D139" s="32" t="inlineStr">
        <is>
          <t>info@helixgroup.com</t>
        </is>
      </c>
      <c r="E139" s="20" t="inlineStr">
        <is>
          <t>Google</t>
        </is>
      </c>
      <c r="F139" s="20" t="inlineStr">
        <is>
          <t>SMB</t>
        </is>
      </c>
      <c r="G139" s="20" t="inlineStr">
        <is>
          <t>No</t>
        </is>
      </c>
      <c r="H139" s="16" t="n"/>
      <c r="I139" s="20" t="inlineStr">
        <is>
          <t>No</t>
        </is>
      </c>
      <c r="J139" s="16" t="n"/>
      <c r="K139" s="19" t="n">
        <v/>
      </c>
      <c r="L139" s="17">
        <f>IF(G139="Yes", H139-B139, "")</f>
        <v/>
      </c>
      <c r="M139" s="17">
        <f>IF(I139="Yes", J139-H139, "")</f>
        <v/>
      </c>
      <c r="N139" s="17">
        <f>IF(I139="Yes", J139-B139, "")</f>
        <v/>
      </c>
    </row>
    <row r="140">
      <c r="A140" s="25" t="inlineStr">
        <is>
          <t>LD-1096</t>
        </is>
      </c>
      <c r="B140" s="21" t="n">
        <v>46107</v>
      </c>
      <c r="C140" s="31" t="inlineStr">
        <is>
          <t>Synergy LLC</t>
        </is>
      </c>
      <c r="D140" s="31" t="inlineStr">
        <is>
          <t>info@synergyllc.com</t>
        </is>
      </c>
      <c r="E140" s="25" t="inlineStr">
        <is>
          <t>Organic / Direct</t>
        </is>
      </c>
      <c r="F140" s="25" t="inlineStr">
        <is>
          <t>Mid-Market</t>
        </is>
      </c>
      <c r="G140" s="25" t="inlineStr">
        <is>
          <t>Yes</t>
        </is>
      </c>
      <c r="H140" s="21" t="n">
        <v>46114</v>
      </c>
      <c r="I140" s="25" t="inlineStr">
        <is>
          <t>No</t>
        </is>
      </c>
      <c r="J140" s="21" t="n"/>
      <c r="K140" s="24" t="n">
        <v/>
      </c>
      <c r="L140" s="22">
        <f>IF(G140="Yes", H140-B140, "")</f>
        <v/>
      </c>
      <c r="M140" s="22">
        <f>IF(I140="Yes", J140-H140, "")</f>
        <v/>
      </c>
      <c r="N140" s="22">
        <f>IF(I140="Yes", J140-B140, "")</f>
        <v/>
      </c>
    </row>
    <row r="141">
      <c r="A141" s="20" t="inlineStr">
        <is>
          <t>LD-1533</t>
        </is>
      </c>
      <c r="B141" s="16" t="n">
        <v>46100</v>
      </c>
      <c r="C141" s="32" t="inlineStr">
        <is>
          <t>Flux LLC</t>
        </is>
      </c>
      <c r="D141" s="32" t="inlineStr">
        <is>
          <t>info@fluxllc.com</t>
        </is>
      </c>
      <c r="E141" s="20" t="inlineStr">
        <is>
          <t>LinkedIn</t>
        </is>
      </c>
      <c r="F141" s="20" t="inlineStr">
        <is>
          <t>Mid-Market</t>
        </is>
      </c>
      <c r="G141" s="20" t="inlineStr">
        <is>
          <t>Yes</t>
        </is>
      </c>
      <c r="H141" s="16" t="n">
        <v>46101</v>
      </c>
      <c r="I141" s="20" t="inlineStr">
        <is>
          <t>Yes</t>
        </is>
      </c>
      <c r="J141" s="16" t="n">
        <v>46111</v>
      </c>
      <c r="K141" s="19" t="n">
        <v>674</v>
      </c>
      <c r="L141" s="17">
        <f>IF(G141="Yes", H141-B141, "")</f>
        <v/>
      </c>
      <c r="M141" s="17">
        <f>IF(I141="Yes", J141-H141, "")</f>
        <v/>
      </c>
      <c r="N141" s="17">
        <f>IF(I141="Yes", J141-B141, "")</f>
        <v/>
      </c>
    </row>
    <row r="142">
      <c r="A142" s="25" t="inlineStr">
        <is>
          <t>LD-1325</t>
        </is>
      </c>
      <c r="B142" s="21" t="n">
        <v>46124</v>
      </c>
      <c r="C142" s="31" t="inlineStr">
        <is>
          <t>Apex Partners</t>
        </is>
      </c>
      <c r="D142" s="31" t="inlineStr">
        <is>
          <t>info@apexpartners.com</t>
        </is>
      </c>
      <c r="E142" s="25" t="inlineStr">
        <is>
          <t>Google</t>
        </is>
      </c>
      <c r="F142" s="25" t="inlineStr">
        <is>
          <t>Mid-Market</t>
        </is>
      </c>
      <c r="G142" s="25" t="inlineStr">
        <is>
          <t>No</t>
        </is>
      </c>
      <c r="H142" s="21" t="n"/>
      <c r="I142" s="25" t="inlineStr">
        <is>
          <t>No</t>
        </is>
      </c>
      <c r="J142" s="21" t="n"/>
      <c r="K142" s="24" t="n">
        <v/>
      </c>
      <c r="L142" s="22">
        <f>IF(G142="Yes", H142-B142, "")</f>
        <v/>
      </c>
      <c r="M142" s="22">
        <f>IF(I142="Yes", J142-H142, "")</f>
        <v/>
      </c>
      <c r="N142" s="22">
        <f>IF(I142="Yes", J142-B142, "")</f>
        <v/>
      </c>
    </row>
    <row r="143">
      <c r="A143" s="20" t="inlineStr">
        <is>
          <t>LD-1179</t>
        </is>
      </c>
      <c r="B143" s="16" t="n">
        <v>46107</v>
      </c>
      <c r="C143" s="32" t="inlineStr">
        <is>
          <t>Omega Global</t>
        </is>
      </c>
      <c r="D143" s="32" t="inlineStr">
        <is>
          <t>info@omegaglobal.com</t>
        </is>
      </c>
      <c r="E143" s="20" t="inlineStr">
        <is>
          <t>Organic / Direct</t>
        </is>
      </c>
      <c r="F143" s="20" t="inlineStr">
        <is>
          <t>Mid-Market</t>
        </is>
      </c>
      <c r="G143" s="20" t="inlineStr">
        <is>
          <t>No</t>
        </is>
      </c>
      <c r="H143" s="16" t="n"/>
      <c r="I143" s="20" t="inlineStr">
        <is>
          <t>No</t>
        </is>
      </c>
      <c r="J143" s="16" t="n"/>
      <c r="K143" s="19" t="n">
        <v/>
      </c>
      <c r="L143" s="17">
        <f>IF(G143="Yes", H143-B143, "")</f>
        <v/>
      </c>
      <c r="M143" s="17">
        <f>IF(I143="Yes", J143-H143, "")</f>
        <v/>
      </c>
      <c r="N143" s="17">
        <f>IF(I143="Yes", J143-B143, "")</f>
        <v/>
      </c>
    </row>
    <row r="144">
      <c r="A144" s="25" t="inlineStr">
        <is>
          <t>LD-1429</t>
        </is>
      </c>
      <c r="B144" s="21" t="n">
        <v>46091</v>
      </c>
      <c r="C144" s="31" t="inlineStr">
        <is>
          <t>Summit Partners</t>
        </is>
      </c>
      <c r="D144" s="31" t="inlineStr">
        <is>
          <t>info@summitpartners.com</t>
        </is>
      </c>
      <c r="E144" s="25" t="inlineStr">
        <is>
          <t>Cold Outreach</t>
        </is>
      </c>
      <c r="F144" s="25" t="inlineStr">
        <is>
          <t>Mid-Market</t>
        </is>
      </c>
      <c r="G144" s="25" t="inlineStr">
        <is>
          <t>Yes</t>
        </is>
      </c>
      <c r="H144" s="21" t="n">
        <v>46095</v>
      </c>
      <c r="I144" s="25" t="inlineStr">
        <is>
          <t>No</t>
        </is>
      </c>
      <c r="J144" s="21" t="n"/>
      <c r="K144" s="24" t="n">
        <v/>
      </c>
      <c r="L144" s="22">
        <f>IF(G144="Yes", H144-B144, "")</f>
        <v/>
      </c>
      <c r="M144" s="22">
        <f>IF(I144="Yes", J144-H144, "")</f>
        <v/>
      </c>
      <c r="N144" s="22">
        <f>IF(I144="Yes", J144-B144, "")</f>
        <v/>
      </c>
    </row>
    <row r="145">
      <c r="A145" s="20" t="inlineStr">
        <is>
          <t>LD-1415</t>
        </is>
      </c>
      <c r="B145" s="16" t="n">
        <v>46092</v>
      </c>
      <c r="C145" s="32" t="inlineStr">
        <is>
          <t>Pulse LLC</t>
        </is>
      </c>
      <c r="D145" s="32" t="inlineStr">
        <is>
          <t>info@pulsellc.com</t>
        </is>
      </c>
      <c r="E145" s="20" t="inlineStr">
        <is>
          <t>Organic / Direct</t>
        </is>
      </c>
      <c r="F145" s="20" t="inlineStr">
        <is>
          <t>SMB</t>
        </is>
      </c>
      <c r="G145" s="20" t="inlineStr">
        <is>
          <t>Yes</t>
        </is>
      </c>
      <c r="H145" s="16" t="n">
        <v>46094</v>
      </c>
      <c r="I145" s="20" t="inlineStr">
        <is>
          <t>No</t>
        </is>
      </c>
      <c r="J145" s="16" t="n"/>
      <c r="K145" s="19" t="n">
        <v/>
      </c>
      <c r="L145" s="17">
        <f>IF(G145="Yes", H145-B145, "")</f>
        <v/>
      </c>
      <c r="M145" s="17">
        <f>IF(I145="Yes", J145-H145, "")</f>
        <v/>
      </c>
      <c r="N145" s="17">
        <f>IF(I145="Yes", J145-B145, "")</f>
        <v/>
      </c>
    </row>
    <row r="146">
      <c r="A146" s="25" t="inlineStr">
        <is>
          <t>LD-1183</t>
        </is>
      </c>
      <c r="B146" s="21" t="n">
        <v>46165</v>
      </c>
      <c r="C146" s="31" t="inlineStr">
        <is>
          <t>Shift Solutions</t>
        </is>
      </c>
      <c r="D146" s="31" t="inlineStr">
        <is>
          <t>info@shiftsolutions.com</t>
        </is>
      </c>
      <c r="E146" s="25" t="inlineStr">
        <is>
          <t>Google</t>
        </is>
      </c>
      <c r="F146" s="25" t="inlineStr">
        <is>
          <t>Enterprise</t>
        </is>
      </c>
      <c r="G146" s="25" t="inlineStr">
        <is>
          <t>Yes</t>
        </is>
      </c>
      <c r="H146" s="21" t="n">
        <v>46175</v>
      </c>
      <c r="I146" s="25" t="inlineStr">
        <is>
          <t>No</t>
        </is>
      </c>
      <c r="J146" s="21" t="n"/>
      <c r="K146" s="24" t="n">
        <v/>
      </c>
      <c r="L146" s="22">
        <f>IF(G146="Yes", H146-B146, "")</f>
        <v/>
      </c>
      <c r="M146" s="22">
        <f>IF(I146="Yes", J146-H146, "")</f>
        <v/>
      </c>
      <c r="N146" s="22">
        <f>IF(I146="Yes", J146-B146, "")</f>
        <v/>
      </c>
    </row>
    <row r="147">
      <c r="A147" s="20" t="inlineStr">
        <is>
          <t>LD-1209</t>
        </is>
      </c>
      <c r="B147" s="16" t="n">
        <v>46117</v>
      </c>
      <c r="C147" s="32" t="inlineStr">
        <is>
          <t>Vortex Inc</t>
        </is>
      </c>
      <c r="D147" s="32" t="inlineStr">
        <is>
          <t>info@vortexinc.com</t>
        </is>
      </c>
      <c r="E147" s="20" t="inlineStr">
        <is>
          <t>Organic / Direct</t>
        </is>
      </c>
      <c r="F147" s="20" t="inlineStr">
        <is>
          <t>SMB</t>
        </is>
      </c>
      <c r="G147" s="20" t="inlineStr">
        <is>
          <t>Yes</t>
        </is>
      </c>
      <c r="H147" s="16" t="n">
        <v>46119</v>
      </c>
      <c r="I147" s="20" t="inlineStr">
        <is>
          <t>Yes</t>
        </is>
      </c>
      <c r="J147" s="16" t="n">
        <v>46125</v>
      </c>
      <c r="K147" s="19" t="n">
        <v>214</v>
      </c>
      <c r="L147" s="17">
        <f>IF(G147="Yes", H147-B147, "")</f>
        <v/>
      </c>
      <c r="M147" s="17">
        <f>IF(I147="Yes", J147-H147, "")</f>
        <v/>
      </c>
      <c r="N147" s="17">
        <f>IF(I147="Yes", J147-B147, "")</f>
        <v/>
      </c>
    </row>
    <row r="148">
      <c r="A148" s="25" t="inlineStr">
        <is>
          <t>LD-1374</t>
        </is>
      </c>
      <c r="B148" s="21" t="n">
        <v>46136</v>
      </c>
      <c r="C148" s="31" t="inlineStr">
        <is>
          <t>Cloud Corp</t>
        </is>
      </c>
      <c r="D148" s="31" t="inlineStr">
        <is>
          <t>info@cloudcorp.com</t>
        </is>
      </c>
      <c r="E148" s="25" t="inlineStr">
        <is>
          <t>Webinar</t>
        </is>
      </c>
      <c r="F148" s="25" t="inlineStr">
        <is>
          <t>SMB</t>
        </is>
      </c>
      <c r="G148" s="25" t="inlineStr">
        <is>
          <t>Yes</t>
        </is>
      </c>
      <c r="H148" s="21" t="n">
        <v>46139</v>
      </c>
      <c r="I148" s="25" t="inlineStr">
        <is>
          <t>No</t>
        </is>
      </c>
      <c r="J148" s="21" t="n"/>
      <c r="K148" s="24" t="n">
        <v/>
      </c>
      <c r="L148" s="22">
        <f>IF(G148="Yes", H148-B148, "")</f>
        <v/>
      </c>
      <c r="M148" s="22">
        <f>IF(I148="Yes", J148-H148, "")</f>
        <v/>
      </c>
      <c r="N148" s="22">
        <f>IF(I148="Yes", J148-B148, "")</f>
        <v/>
      </c>
    </row>
    <row r="149">
      <c r="A149" s="20" t="inlineStr">
        <is>
          <t>LD-1121</t>
        </is>
      </c>
      <c r="B149" s="16" t="n">
        <v>46082</v>
      </c>
      <c r="C149" s="32" t="inlineStr">
        <is>
          <t>Sovereign LLC</t>
        </is>
      </c>
      <c r="D149" s="32" t="inlineStr">
        <is>
          <t>info@sovereignllc.com</t>
        </is>
      </c>
      <c r="E149" s="20" t="inlineStr">
        <is>
          <t>Google</t>
        </is>
      </c>
      <c r="F149" s="20" t="inlineStr">
        <is>
          <t>SMB</t>
        </is>
      </c>
      <c r="G149" s="20" t="inlineStr">
        <is>
          <t>No</t>
        </is>
      </c>
      <c r="H149" s="16" t="n"/>
      <c r="I149" s="20" t="inlineStr">
        <is>
          <t>No</t>
        </is>
      </c>
      <c r="J149" s="16" t="n"/>
      <c r="K149" s="19" t="n">
        <v/>
      </c>
      <c r="L149" s="17">
        <f>IF(G149="Yes", H149-B149, "")</f>
        <v/>
      </c>
      <c r="M149" s="17">
        <f>IF(I149="Yes", J149-H149, "")</f>
        <v/>
      </c>
      <c r="N149" s="17">
        <f>IF(I149="Yes", J149-B149, "")</f>
        <v/>
      </c>
    </row>
    <row r="150">
      <c r="A150" s="25" t="inlineStr">
        <is>
          <t>LD-1168</t>
        </is>
      </c>
      <c r="B150" s="21" t="n">
        <v>46110</v>
      </c>
      <c r="C150" s="31" t="inlineStr">
        <is>
          <t>Cloud Technologies</t>
        </is>
      </c>
      <c r="D150" s="31" t="inlineStr">
        <is>
          <t>info@cloudtechnologies.com</t>
        </is>
      </c>
      <c r="E150" s="25" t="inlineStr">
        <is>
          <t>Webinar</t>
        </is>
      </c>
      <c r="F150" s="25" t="inlineStr">
        <is>
          <t>Enterprise</t>
        </is>
      </c>
      <c r="G150" s="25" t="inlineStr">
        <is>
          <t>Yes</t>
        </is>
      </c>
      <c r="H150" s="21" t="n">
        <v>46115</v>
      </c>
      <c r="I150" s="25" t="inlineStr">
        <is>
          <t>No</t>
        </is>
      </c>
      <c r="J150" s="21" t="n"/>
      <c r="K150" s="24" t="n">
        <v/>
      </c>
      <c r="L150" s="22">
        <f>IF(G150="Yes", H150-B150, "")</f>
        <v/>
      </c>
      <c r="M150" s="22">
        <f>IF(I150="Yes", J150-H150, "")</f>
        <v/>
      </c>
      <c r="N150" s="22">
        <f>IF(I150="Yes", J150-B150, "")</f>
        <v/>
      </c>
    </row>
    <row r="151">
      <c r="A151" s="20" t="inlineStr">
        <is>
          <t>LD-1287</t>
        </is>
      </c>
      <c r="B151" s="16" t="n">
        <v>46151</v>
      </c>
      <c r="C151" s="32" t="inlineStr">
        <is>
          <t>Synergy Group</t>
        </is>
      </c>
      <c r="D151" s="32" t="inlineStr">
        <is>
          <t>info@synergygroup.com</t>
        </is>
      </c>
      <c r="E151" s="20" t="inlineStr">
        <is>
          <t>LinkedIn</t>
        </is>
      </c>
      <c r="F151" s="20" t="inlineStr">
        <is>
          <t>Enterprise</t>
        </is>
      </c>
      <c r="G151" s="20" t="inlineStr">
        <is>
          <t>Yes</t>
        </is>
      </c>
      <c r="H151" s="16" t="n">
        <v>46152</v>
      </c>
      <c r="I151" s="20" t="inlineStr">
        <is>
          <t>No</t>
        </is>
      </c>
      <c r="J151" s="16" t="n"/>
      <c r="K151" s="19" t="n">
        <v/>
      </c>
      <c r="L151" s="17">
        <f>IF(G151="Yes", H151-B151, "")</f>
        <v/>
      </c>
      <c r="M151" s="17">
        <f>IF(I151="Yes", J151-H151, "")</f>
        <v/>
      </c>
      <c r="N151" s="17">
        <f>IF(I151="Yes", J151-B151, "")</f>
        <v/>
      </c>
    </row>
    <row r="152">
      <c r="A152" s="25" t="inlineStr">
        <is>
          <t>LD-1097</t>
        </is>
      </c>
      <c r="B152" s="21" t="n">
        <v>46088</v>
      </c>
      <c r="C152" s="31" t="inlineStr">
        <is>
          <t>Stellar Solutions</t>
        </is>
      </c>
      <c r="D152" s="31" t="inlineStr">
        <is>
          <t>info@stellarsolutions.com</t>
        </is>
      </c>
      <c r="E152" s="25" t="inlineStr">
        <is>
          <t>Webinar</t>
        </is>
      </c>
      <c r="F152" s="25" t="inlineStr">
        <is>
          <t>SMB</t>
        </is>
      </c>
      <c r="G152" s="25" t="inlineStr">
        <is>
          <t>Yes</t>
        </is>
      </c>
      <c r="H152" s="21" t="n">
        <v>46091</v>
      </c>
      <c r="I152" s="25" t="inlineStr">
        <is>
          <t>No</t>
        </is>
      </c>
      <c r="J152" s="21" t="n"/>
      <c r="K152" s="24" t="n">
        <v/>
      </c>
      <c r="L152" s="22">
        <f>IF(G152="Yes", H152-B152, "")</f>
        <v/>
      </c>
      <c r="M152" s="22">
        <f>IF(I152="Yes", J152-H152, "")</f>
        <v/>
      </c>
      <c r="N152" s="22">
        <f>IF(I152="Yes", J152-B152, "")</f>
        <v/>
      </c>
    </row>
    <row r="153">
      <c r="A153" s="20" t="inlineStr">
        <is>
          <t>LD-1265</t>
        </is>
      </c>
      <c r="B153" s="16" t="n">
        <v>46088</v>
      </c>
      <c r="C153" s="32" t="inlineStr">
        <is>
          <t>Alpha Inc</t>
        </is>
      </c>
      <c r="D153" s="32" t="inlineStr">
        <is>
          <t>info@alphainc.com</t>
        </is>
      </c>
      <c r="E153" s="20" t="inlineStr">
        <is>
          <t>Referral</t>
        </is>
      </c>
      <c r="F153" s="20" t="inlineStr">
        <is>
          <t>Mid-Market</t>
        </is>
      </c>
      <c r="G153" s="20" t="inlineStr">
        <is>
          <t>Yes</t>
        </is>
      </c>
      <c r="H153" s="16" t="n">
        <v>46095</v>
      </c>
      <c r="I153" s="20" t="inlineStr">
        <is>
          <t>Yes</t>
        </is>
      </c>
      <c r="J153" s="16" t="n">
        <v>46104</v>
      </c>
      <c r="K153" s="19" t="n">
        <v>1403</v>
      </c>
      <c r="L153" s="17">
        <f>IF(G153="Yes", H153-B153, "")</f>
        <v/>
      </c>
      <c r="M153" s="17">
        <f>IF(I153="Yes", J153-H153, "")</f>
        <v/>
      </c>
      <c r="N153" s="17">
        <f>IF(I153="Yes", J153-B153, "")</f>
        <v/>
      </c>
    </row>
    <row r="154">
      <c r="A154" s="25" t="inlineStr">
        <is>
          <t>LD-1362</t>
        </is>
      </c>
      <c r="B154" s="21" t="n">
        <v>46142</v>
      </c>
      <c r="C154" s="31" t="inlineStr">
        <is>
          <t>Zenith Co</t>
        </is>
      </c>
      <c r="D154" s="31" t="inlineStr">
        <is>
          <t>info@zenithco.com</t>
        </is>
      </c>
      <c r="E154" s="25" t="inlineStr">
        <is>
          <t>Google</t>
        </is>
      </c>
      <c r="F154" s="25" t="inlineStr">
        <is>
          <t>Enterprise</t>
        </is>
      </c>
      <c r="G154" s="25" t="inlineStr">
        <is>
          <t>Yes</t>
        </is>
      </c>
      <c r="H154" s="21" t="n">
        <v>46149</v>
      </c>
      <c r="I154" s="25" t="inlineStr">
        <is>
          <t>Yes</t>
        </is>
      </c>
      <c r="J154" s="21" t="n">
        <v>46168</v>
      </c>
      <c r="K154" s="24" t="n">
        <v>7694</v>
      </c>
      <c r="L154" s="22">
        <f>IF(G154="Yes", H154-B154, "")</f>
        <v/>
      </c>
      <c r="M154" s="22">
        <f>IF(I154="Yes", J154-H154, "")</f>
        <v/>
      </c>
      <c r="N154" s="22">
        <f>IF(I154="Yes", J154-B154, "")</f>
        <v/>
      </c>
    </row>
    <row r="155">
      <c r="A155" s="20" t="inlineStr">
        <is>
          <t>LD-1254</t>
        </is>
      </c>
      <c r="B155" s="16" t="n">
        <v>46144</v>
      </c>
      <c r="C155" s="32" t="inlineStr">
        <is>
          <t>Summit Co</t>
        </is>
      </c>
      <c r="D155" s="32" t="inlineStr">
        <is>
          <t>info@summitco.com</t>
        </is>
      </c>
      <c r="E155" s="20" t="inlineStr">
        <is>
          <t>LinkedIn</t>
        </is>
      </c>
      <c r="F155" s="20" t="inlineStr">
        <is>
          <t>SMB</t>
        </is>
      </c>
      <c r="G155" s="20" t="inlineStr">
        <is>
          <t>Yes</t>
        </is>
      </c>
      <c r="H155" s="16" t="n">
        <v>46148</v>
      </c>
      <c r="I155" s="20" t="inlineStr">
        <is>
          <t>No</t>
        </is>
      </c>
      <c r="J155" s="16" t="n"/>
      <c r="K155" s="19" t="n">
        <v/>
      </c>
      <c r="L155" s="17">
        <f>IF(G155="Yes", H155-B155, "")</f>
        <v/>
      </c>
      <c r="M155" s="17">
        <f>IF(I155="Yes", J155-H155, "")</f>
        <v/>
      </c>
      <c r="N155" s="17">
        <f>IF(I155="Yes", J155-B155, "")</f>
        <v/>
      </c>
    </row>
    <row r="156">
      <c r="A156" s="25" t="inlineStr">
        <is>
          <t>LD-1301</t>
        </is>
      </c>
      <c r="B156" s="21" t="n">
        <v>46085</v>
      </c>
      <c r="C156" s="31" t="inlineStr">
        <is>
          <t>Zenith Global</t>
        </is>
      </c>
      <c r="D156" s="31" t="inlineStr">
        <is>
          <t>info@zenithglobal.com</t>
        </is>
      </c>
      <c r="E156" s="25" t="inlineStr">
        <is>
          <t>LinkedIn</t>
        </is>
      </c>
      <c r="F156" s="25" t="inlineStr">
        <is>
          <t>SMB</t>
        </is>
      </c>
      <c r="G156" s="25" t="inlineStr">
        <is>
          <t>Yes</t>
        </is>
      </c>
      <c r="H156" s="21" t="n">
        <v>46089</v>
      </c>
      <c r="I156" s="25" t="inlineStr">
        <is>
          <t>No</t>
        </is>
      </c>
      <c r="J156" s="21" t="n"/>
      <c r="K156" s="24" t="n">
        <v/>
      </c>
      <c r="L156" s="22">
        <f>IF(G156="Yes", H156-B156, "")</f>
        <v/>
      </c>
      <c r="M156" s="22">
        <f>IF(I156="Yes", J156-H156, "")</f>
        <v/>
      </c>
      <c r="N156" s="22">
        <f>IF(I156="Yes", J156-B156, "")</f>
        <v/>
      </c>
    </row>
    <row r="157">
      <c r="A157" s="20" t="inlineStr">
        <is>
          <t>LD-1211</t>
        </is>
      </c>
      <c r="B157" s="16" t="n">
        <v>46155</v>
      </c>
      <c r="C157" s="32" t="inlineStr">
        <is>
          <t>Bold Co</t>
        </is>
      </c>
      <c r="D157" s="32" t="inlineStr">
        <is>
          <t>info@boldco.com</t>
        </is>
      </c>
      <c r="E157" s="20" t="inlineStr">
        <is>
          <t>Webinar</t>
        </is>
      </c>
      <c r="F157" s="20" t="inlineStr">
        <is>
          <t>Enterprise</t>
        </is>
      </c>
      <c r="G157" s="20" t="inlineStr">
        <is>
          <t>Yes</t>
        </is>
      </c>
      <c r="H157" s="16" t="n">
        <v>46160</v>
      </c>
      <c r="I157" s="20" t="inlineStr">
        <is>
          <t>Yes</t>
        </is>
      </c>
      <c r="J157" s="16" t="n">
        <v>46170</v>
      </c>
      <c r="K157" s="19" t="n">
        <v>6499</v>
      </c>
      <c r="L157" s="17">
        <f>IF(G157="Yes", H157-B157, "")</f>
        <v/>
      </c>
      <c r="M157" s="17">
        <f>IF(I157="Yes", J157-H157, "")</f>
        <v/>
      </c>
      <c r="N157" s="17">
        <f>IF(I157="Yes", J157-B157, "")</f>
        <v/>
      </c>
    </row>
    <row r="158">
      <c r="A158" s="25" t="inlineStr">
        <is>
          <t>LD-1160</t>
        </is>
      </c>
      <c r="B158" s="21" t="n">
        <v>46131</v>
      </c>
      <c r="C158" s="31" t="inlineStr">
        <is>
          <t>Sovereign Partners</t>
        </is>
      </c>
      <c r="D158" s="31" t="inlineStr">
        <is>
          <t>info@sovereignpartners.com</t>
        </is>
      </c>
      <c r="E158" s="25" t="inlineStr">
        <is>
          <t>Organic / Direct</t>
        </is>
      </c>
      <c r="F158" s="25" t="inlineStr">
        <is>
          <t>SMB</t>
        </is>
      </c>
      <c r="G158" s="25" t="inlineStr">
        <is>
          <t>Yes</t>
        </is>
      </c>
      <c r="H158" s="21" t="n">
        <v>46140</v>
      </c>
      <c r="I158" s="25" t="inlineStr">
        <is>
          <t>No</t>
        </is>
      </c>
      <c r="J158" s="21" t="n"/>
      <c r="K158" s="24" t="n">
        <v/>
      </c>
      <c r="L158" s="22">
        <f>IF(G158="Yes", H158-B158, "")</f>
        <v/>
      </c>
      <c r="M158" s="22">
        <f>IF(I158="Yes", J158-H158, "")</f>
        <v/>
      </c>
      <c r="N158" s="22">
        <f>IF(I158="Yes", J158-B158, "")</f>
        <v/>
      </c>
    </row>
    <row r="159">
      <c r="A159" s="20" t="inlineStr">
        <is>
          <t>LD-1493</t>
        </is>
      </c>
      <c r="B159" s="16" t="n">
        <v>46160</v>
      </c>
      <c r="C159" s="32" t="inlineStr">
        <is>
          <t>Synergy Group</t>
        </is>
      </c>
      <c r="D159" s="32" t="inlineStr">
        <is>
          <t>info@synergygroup.com</t>
        </is>
      </c>
      <c r="E159" s="20" t="inlineStr">
        <is>
          <t>Cold Outreach</t>
        </is>
      </c>
      <c r="F159" s="20" t="inlineStr">
        <is>
          <t>Mid-Market</t>
        </is>
      </c>
      <c r="G159" s="20" t="inlineStr">
        <is>
          <t>Yes</t>
        </is>
      </c>
      <c r="H159" s="16" t="n">
        <v>46163</v>
      </c>
      <c r="I159" s="20" t="inlineStr">
        <is>
          <t>Yes</t>
        </is>
      </c>
      <c r="J159" s="16" t="n">
        <v>46174</v>
      </c>
      <c r="K159" s="19" t="n">
        <v>1205</v>
      </c>
      <c r="L159" s="17">
        <f>IF(G159="Yes", H159-B159, "")</f>
        <v/>
      </c>
      <c r="M159" s="17">
        <f>IF(I159="Yes", J159-H159, "")</f>
        <v/>
      </c>
      <c r="N159" s="17">
        <f>IF(I159="Yes", J159-B159, "")</f>
        <v/>
      </c>
    </row>
    <row r="160">
      <c r="A160" s="25" t="inlineStr">
        <is>
          <t>LD-1294</t>
        </is>
      </c>
      <c r="B160" s="21" t="n">
        <v>46123</v>
      </c>
      <c r="C160" s="31" t="inlineStr">
        <is>
          <t>Synergy Co</t>
        </is>
      </c>
      <c r="D160" s="31" t="inlineStr">
        <is>
          <t>info@synergyco.com</t>
        </is>
      </c>
      <c r="E160" s="25" t="inlineStr">
        <is>
          <t>LinkedIn</t>
        </is>
      </c>
      <c r="F160" s="25" t="inlineStr">
        <is>
          <t>Mid-Market</t>
        </is>
      </c>
      <c r="G160" s="25" t="inlineStr">
        <is>
          <t>No</t>
        </is>
      </c>
      <c r="H160" s="21" t="n"/>
      <c r="I160" s="25" t="inlineStr">
        <is>
          <t>No</t>
        </is>
      </c>
      <c r="J160" s="21" t="n"/>
      <c r="K160" s="24" t="n">
        <v/>
      </c>
      <c r="L160" s="22">
        <f>IF(G160="Yes", H160-B160, "")</f>
        <v/>
      </c>
      <c r="M160" s="22">
        <f>IF(I160="Yes", J160-H160, "")</f>
        <v/>
      </c>
      <c r="N160" s="22">
        <f>IF(I160="Yes", J160-B160, "")</f>
        <v/>
      </c>
    </row>
    <row r="161">
      <c r="A161" s="20" t="inlineStr">
        <is>
          <t>LD-1163</t>
        </is>
      </c>
      <c r="B161" s="16" t="n">
        <v>46138</v>
      </c>
      <c r="C161" s="32" t="inlineStr">
        <is>
          <t>Flux Corp</t>
        </is>
      </c>
      <c r="D161" s="32" t="inlineStr">
        <is>
          <t>info@fluxcorp.com</t>
        </is>
      </c>
      <c r="E161" s="20" t="inlineStr">
        <is>
          <t>LinkedIn</t>
        </is>
      </c>
      <c r="F161" s="20" t="inlineStr">
        <is>
          <t>SMB</t>
        </is>
      </c>
      <c r="G161" s="20" t="inlineStr">
        <is>
          <t>No</t>
        </is>
      </c>
      <c r="H161" s="16" t="n"/>
      <c r="I161" s="20" t="inlineStr">
        <is>
          <t>No</t>
        </is>
      </c>
      <c r="J161" s="16" t="n"/>
      <c r="K161" s="19" t="n">
        <v/>
      </c>
      <c r="L161" s="17">
        <f>IF(G161="Yes", H161-B161, "")</f>
        <v/>
      </c>
      <c r="M161" s="17">
        <f>IF(I161="Yes", J161-H161, "")</f>
        <v/>
      </c>
      <c r="N161" s="17">
        <f>IF(I161="Yes", J161-B161, "")</f>
        <v/>
      </c>
    </row>
    <row r="162">
      <c r="A162" s="25" t="inlineStr">
        <is>
          <t>LD-1051</t>
        </is>
      </c>
      <c r="B162" s="21" t="n">
        <v>46135</v>
      </c>
      <c r="C162" s="31" t="inlineStr">
        <is>
          <t>Helix LLC</t>
        </is>
      </c>
      <c r="D162" s="31" t="inlineStr">
        <is>
          <t>info@helixllc.com</t>
        </is>
      </c>
      <c r="E162" s="25" t="inlineStr">
        <is>
          <t>Organic / Direct</t>
        </is>
      </c>
      <c r="F162" s="25" t="inlineStr">
        <is>
          <t>SMB</t>
        </is>
      </c>
      <c r="G162" s="25" t="inlineStr">
        <is>
          <t>No</t>
        </is>
      </c>
      <c r="H162" s="21" t="n"/>
      <c r="I162" s="25" t="inlineStr">
        <is>
          <t>No</t>
        </is>
      </c>
      <c r="J162" s="21" t="n"/>
      <c r="K162" s="24" t="n">
        <v/>
      </c>
      <c r="L162" s="22">
        <f>IF(G162="Yes", H162-B162, "")</f>
        <v/>
      </c>
      <c r="M162" s="22">
        <f>IF(I162="Yes", J162-H162, "")</f>
        <v/>
      </c>
      <c r="N162" s="22">
        <f>IF(I162="Yes", J162-B162, "")</f>
        <v/>
      </c>
    </row>
    <row r="163">
      <c r="A163" s="20" t="inlineStr">
        <is>
          <t>LD-1289</t>
        </is>
      </c>
      <c r="B163" s="16" t="n">
        <v>46100</v>
      </c>
      <c r="C163" s="32" t="inlineStr">
        <is>
          <t>Nova Inc</t>
        </is>
      </c>
      <c r="D163" s="32" t="inlineStr">
        <is>
          <t>info@novainc.com</t>
        </is>
      </c>
      <c r="E163" s="20" t="inlineStr">
        <is>
          <t>Cold Outreach</t>
        </is>
      </c>
      <c r="F163" s="20" t="inlineStr">
        <is>
          <t>Mid-Market</t>
        </is>
      </c>
      <c r="G163" s="20" t="inlineStr">
        <is>
          <t>No</t>
        </is>
      </c>
      <c r="H163" s="16" t="n"/>
      <c r="I163" s="20" t="inlineStr">
        <is>
          <t>No</t>
        </is>
      </c>
      <c r="J163" s="16" t="n"/>
      <c r="K163" s="19" t="n">
        <v/>
      </c>
      <c r="L163" s="17">
        <f>IF(G163="Yes", H163-B163, "")</f>
        <v/>
      </c>
      <c r="M163" s="17">
        <f>IF(I163="Yes", J163-H163, "")</f>
        <v/>
      </c>
      <c r="N163" s="17">
        <f>IF(I163="Yes", J163-B163, "")</f>
        <v/>
      </c>
    </row>
    <row r="164">
      <c r="A164" s="25" t="inlineStr">
        <is>
          <t>LD-1084</t>
        </is>
      </c>
      <c r="B164" s="21" t="n">
        <v>46096</v>
      </c>
      <c r="C164" s="31" t="inlineStr">
        <is>
          <t>Vortex Group</t>
        </is>
      </c>
      <c r="D164" s="31" t="inlineStr">
        <is>
          <t>info@vortexgroup.com</t>
        </is>
      </c>
      <c r="E164" s="25" t="inlineStr">
        <is>
          <t>Cold Outreach</t>
        </is>
      </c>
      <c r="F164" s="25" t="inlineStr">
        <is>
          <t>Enterprise</t>
        </is>
      </c>
      <c r="G164" s="25" t="inlineStr">
        <is>
          <t>Yes</t>
        </is>
      </c>
      <c r="H164" s="21" t="n">
        <v>46104</v>
      </c>
      <c r="I164" s="25" t="inlineStr">
        <is>
          <t>No</t>
        </is>
      </c>
      <c r="J164" s="21" t="n"/>
      <c r="K164" s="24" t="n">
        <v/>
      </c>
      <c r="L164" s="22">
        <f>IF(G164="Yes", H164-B164, "")</f>
        <v/>
      </c>
      <c r="M164" s="22">
        <f>IF(I164="Yes", J164-H164, "")</f>
        <v/>
      </c>
      <c r="N164" s="22">
        <f>IF(I164="Yes", J164-B164, "")</f>
        <v/>
      </c>
    </row>
    <row r="165">
      <c r="A165" s="20" t="inlineStr">
        <is>
          <t>LD-1361</t>
        </is>
      </c>
      <c r="B165" s="16" t="n">
        <v>46126</v>
      </c>
      <c r="C165" s="32" t="inlineStr">
        <is>
          <t>Omega Group</t>
        </is>
      </c>
      <c r="D165" s="32" t="inlineStr">
        <is>
          <t>info@omegagroup.com</t>
        </is>
      </c>
      <c r="E165" s="20" t="inlineStr">
        <is>
          <t>Cold Outreach</t>
        </is>
      </c>
      <c r="F165" s="20" t="inlineStr">
        <is>
          <t>SMB</t>
        </is>
      </c>
      <c r="G165" s="20" t="inlineStr">
        <is>
          <t>Yes</t>
        </is>
      </c>
      <c r="H165" s="16" t="n">
        <v>46129</v>
      </c>
      <c r="I165" s="20" t="inlineStr">
        <is>
          <t>No</t>
        </is>
      </c>
      <c r="J165" s="16" t="n"/>
      <c r="K165" s="19" t="n">
        <v/>
      </c>
      <c r="L165" s="17">
        <f>IF(G165="Yes", H165-B165, "")</f>
        <v/>
      </c>
      <c r="M165" s="17">
        <f>IF(I165="Yes", J165-H165, "")</f>
        <v/>
      </c>
      <c r="N165" s="17">
        <f>IF(I165="Yes", J165-B165, "")</f>
        <v/>
      </c>
    </row>
    <row r="166">
      <c r="A166" s="25" t="inlineStr">
        <is>
          <t>LD-1253</t>
        </is>
      </c>
      <c r="B166" s="21" t="n">
        <v>46147</v>
      </c>
      <c r="C166" s="31" t="inlineStr">
        <is>
          <t>Bold Group</t>
        </is>
      </c>
      <c r="D166" s="31" t="inlineStr">
        <is>
          <t>info@boldgroup.com</t>
        </is>
      </c>
      <c r="E166" s="25" t="inlineStr">
        <is>
          <t>Referral</t>
        </is>
      </c>
      <c r="F166" s="25" t="inlineStr">
        <is>
          <t>Enterprise</t>
        </is>
      </c>
      <c r="G166" s="25" t="inlineStr">
        <is>
          <t>Yes</t>
        </is>
      </c>
      <c r="H166" s="21" t="n">
        <v>46150</v>
      </c>
      <c r="I166" s="25" t="inlineStr">
        <is>
          <t>No</t>
        </is>
      </c>
      <c r="J166" s="21" t="n"/>
      <c r="K166" s="24" t="n">
        <v/>
      </c>
      <c r="L166" s="22">
        <f>IF(G166="Yes", H166-B166, "")</f>
        <v/>
      </c>
      <c r="M166" s="22">
        <f>IF(I166="Yes", J166-H166, "")</f>
        <v/>
      </c>
      <c r="N166" s="22">
        <f>IF(I166="Yes", J166-B166, "")</f>
        <v/>
      </c>
    </row>
    <row r="167">
      <c r="A167" s="20" t="inlineStr">
        <is>
          <t>LD-1114</t>
        </is>
      </c>
      <c r="B167" s="16" t="n">
        <v>46152</v>
      </c>
      <c r="C167" s="32" t="inlineStr">
        <is>
          <t>Omega Global</t>
        </is>
      </c>
      <c r="D167" s="32" t="inlineStr">
        <is>
          <t>info@omegaglobal.com</t>
        </is>
      </c>
      <c r="E167" s="20" t="inlineStr">
        <is>
          <t>Referral</t>
        </is>
      </c>
      <c r="F167" s="20" t="inlineStr">
        <is>
          <t>SMB</t>
        </is>
      </c>
      <c r="G167" s="20" t="inlineStr">
        <is>
          <t>No</t>
        </is>
      </c>
      <c r="H167" s="16" t="n"/>
      <c r="I167" s="20" t="inlineStr">
        <is>
          <t>No</t>
        </is>
      </c>
      <c r="J167" s="16" t="n"/>
      <c r="K167" s="19" t="n">
        <v/>
      </c>
      <c r="L167" s="17">
        <f>IF(G167="Yes", H167-B167, "")</f>
        <v/>
      </c>
      <c r="M167" s="17">
        <f>IF(I167="Yes", J167-H167, "")</f>
        <v/>
      </c>
      <c r="N167" s="17">
        <f>IF(I167="Yes", J167-B167, "")</f>
        <v/>
      </c>
    </row>
    <row r="168"/>
    <row r="169">
      <c r="A169" s="20" t="inlineStr">
        <is>
          <t>LD-1311</t>
        </is>
      </c>
      <c r="B169" s="16" t="n">
        <v>46088</v>
      </c>
      <c r="C169" s="32" t="inlineStr">
        <is>
          <t>Helix Group</t>
        </is>
      </c>
      <c r="D169" s="32" t="inlineStr">
        <is>
          <t>info@helixgroup.com</t>
        </is>
      </c>
      <c r="E169" s="20" t="inlineStr">
        <is>
          <t>Referral</t>
        </is>
      </c>
      <c r="F169" s="20" t="inlineStr">
        <is>
          <t>Mid-Market</t>
        </is>
      </c>
      <c r="G169" s="20" t="inlineStr">
        <is>
          <t>Yes</t>
        </is>
      </c>
      <c r="H169" s="16" t="n">
        <v>46090</v>
      </c>
      <c r="I169" s="20" t="inlineStr">
        <is>
          <t>No</t>
        </is>
      </c>
      <c r="J169" s="16" t="n"/>
      <c r="K169" s="19" t="n">
        <v/>
      </c>
      <c r="L169" s="17">
        <f>IF(G169="Yes", H169-B169, "")</f>
        <v/>
      </c>
      <c r="M169" s="17">
        <f>IF(I169="Yes", J169-H169, "")</f>
        <v/>
      </c>
      <c r="N169" s="17">
        <f>IF(I169="Yes", J169-B169, "")</f>
        <v/>
      </c>
    </row>
    <row r="170">
      <c r="A170" s="25" t="inlineStr">
        <is>
          <t>LD-1497</t>
        </is>
      </c>
      <c r="B170" s="21" t="n">
        <v>46165</v>
      </c>
      <c r="C170" s="31" t="inlineStr">
        <is>
          <t>Omega Partners</t>
        </is>
      </c>
      <c r="D170" s="31" t="inlineStr">
        <is>
          <t>info@omegapartners.com</t>
        </is>
      </c>
      <c r="E170" s="25" t="inlineStr">
        <is>
          <t>LinkedIn</t>
        </is>
      </c>
      <c r="F170" s="25" t="inlineStr">
        <is>
          <t>SMB</t>
        </is>
      </c>
      <c r="G170" s="25" t="inlineStr">
        <is>
          <t>Yes</t>
        </is>
      </c>
      <c r="H170" s="21" t="n">
        <v>46166</v>
      </c>
      <c r="I170" s="25" t="inlineStr">
        <is>
          <t>No</t>
        </is>
      </c>
      <c r="J170" s="21" t="n"/>
      <c r="K170" s="24" t="n">
        <v/>
      </c>
      <c r="L170" s="22">
        <f>IF(G170="Yes", H170-B170, "")</f>
        <v/>
      </c>
      <c r="M170" s="22">
        <f>IF(I170="Yes", J170-H170, "")</f>
        <v/>
      </c>
      <c r="N170" s="22">
        <f>IF(I170="Yes", J170-B170, "")</f>
        <v/>
      </c>
    </row>
    <row r="171">
      <c r="A171" s="20" t="inlineStr">
        <is>
          <t>LD-1453</t>
        </is>
      </c>
      <c r="B171" s="16" t="n">
        <v>46138</v>
      </c>
      <c r="C171" s="32" t="inlineStr">
        <is>
          <t>Synergy Corp</t>
        </is>
      </c>
      <c r="D171" s="32" t="inlineStr">
        <is>
          <t>info@synergycorp.com</t>
        </is>
      </c>
      <c r="E171" s="20" t="inlineStr">
        <is>
          <t>LinkedIn</t>
        </is>
      </c>
      <c r="F171" s="20" t="inlineStr">
        <is>
          <t>Mid-Market</t>
        </is>
      </c>
      <c r="G171" s="20" t="inlineStr">
        <is>
          <t>Yes</t>
        </is>
      </c>
      <c r="H171" s="16" t="n">
        <v>46146</v>
      </c>
      <c r="I171" s="20" t="inlineStr">
        <is>
          <t>No</t>
        </is>
      </c>
      <c r="J171" s="16" t="n"/>
      <c r="K171" s="19" t="n">
        <v/>
      </c>
      <c r="L171" s="17">
        <f>IF(G171="Yes", H171-B171, "")</f>
        <v/>
      </c>
      <c r="M171" s="17">
        <f>IF(I171="Yes", J171-H171, "")</f>
        <v/>
      </c>
      <c r="N171" s="17">
        <f>IF(I171="Yes", J171-B171, "")</f>
        <v/>
      </c>
    </row>
    <row r="172">
      <c r="A172" s="25" t="inlineStr">
        <is>
          <t>LD-1499</t>
        </is>
      </c>
      <c r="B172" s="21" t="n">
        <v>46113</v>
      </c>
      <c r="C172" s="31" t="inlineStr">
        <is>
          <t>Apex LLC</t>
        </is>
      </c>
      <c r="D172" s="31" t="inlineStr">
        <is>
          <t>info@apexllc.com</t>
        </is>
      </c>
      <c r="E172" s="25" t="inlineStr">
        <is>
          <t>Organic / Direct</t>
        </is>
      </c>
      <c r="F172" s="25" t="inlineStr">
        <is>
          <t>Enterprise</t>
        </is>
      </c>
      <c r="G172" s="25" t="inlineStr">
        <is>
          <t>Yes</t>
        </is>
      </c>
      <c r="H172" s="21" t="n">
        <v>46122</v>
      </c>
      <c r="I172" s="25" t="inlineStr">
        <is>
          <t>No</t>
        </is>
      </c>
      <c r="J172" s="21" t="n"/>
      <c r="K172" s="24" t="n">
        <v/>
      </c>
      <c r="L172" s="22">
        <f>IF(G172="Yes", H172-B172, "")</f>
        <v/>
      </c>
      <c r="M172" s="22">
        <f>IF(I172="Yes", J172-H172, "")</f>
        <v/>
      </c>
      <c r="N172" s="22">
        <f>IF(I172="Yes", J172-B172, "")</f>
        <v/>
      </c>
    </row>
    <row r="173">
      <c r="A173" s="20" t="inlineStr">
        <is>
          <t>LD-1303</t>
        </is>
      </c>
      <c r="B173" s="16" t="n">
        <v>46127</v>
      </c>
      <c r="C173" s="32" t="inlineStr">
        <is>
          <t>Flux Group</t>
        </is>
      </c>
      <c r="D173" s="32" t="inlineStr">
        <is>
          <t>info@fluxgroup.com</t>
        </is>
      </c>
      <c r="E173" s="20" t="inlineStr">
        <is>
          <t>Organic / Direct</t>
        </is>
      </c>
      <c r="F173" s="20" t="inlineStr">
        <is>
          <t>Mid-Market</t>
        </is>
      </c>
      <c r="G173" s="20" t="inlineStr">
        <is>
          <t>Yes</t>
        </is>
      </c>
      <c r="H173" s="16" t="n">
        <v>46130</v>
      </c>
      <c r="I173" s="20" t="inlineStr">
        <is>
          <t>Yes</t>
        </is>
      </c>
      <c r="J173" s="16" t="n">
        <v>46142</v>
      </c>
      <c r="K173" s="19" t="n">
        <v>520</v>
      </c>
      <c r="L173" s="17">
        <f>IF(G173="Yes", H173-B173, "")</f>
        <v/>
      </c>
      <c r="M173" s="17">
        <f>IF(I173="Yes", J173-H173, "")</f>
        <v/>
      </c>
      <c r="N173" s="17">
        <f>IF(I173="Yes", J173-B173, "")</f>
        <v/>
      </c>
    </row>
    <row r="174">
      <c r="A174" s="25" t="inlineStr">
        <is>
          <t>LD-1191</t>
        </is>
      </c>
      <c r="B174" s="21" t="n">
        <v>46157</v>
      </c>
      <c r="C174" s="31" t="inlineStr">
        <is>
          <t>Apex Global</t>
        </is>
      </c>
      <c r="D174" s="31" t="inlineStr">
        <is>
          <t>info@apexglobal.com</t>
        </is>
      </c>
      <c r="E174" s="25" t="inlineStr">
        <is>
          <t>Google</t>
        </is>
      </c>
      <c r="F174" s="25" t="inlineStr">
        <is>
          <t>Mid-Market</t>
        </is>
      </c>
      <c r="G174" s="25" t="inlineStr">
        <is>
          <t>Yes</t>
        </is>
      </c>
      <c r="H174" s="21" t="n">
        <v>46165</v>
      </c>
      <c r="I174" s="25" t="inlineStr">
        <is>
          <t>Yes</t>
        </is>
      </c>
      <c r="J174" s="21" t="n">
        <v>46174</v>
      </c>
      <c r="K174" s="24" t="n">
        <v>505</v>
      </c>
      <c r="L174" s="22">
        <f>IF(G174="Yes", H174-B174, "")</f>
        <v/>
      </c>
      <c r="M174" s="22">
        <f>IF(I174="Yes", J174-H174, "")</f>
        <v/>
      </c>
      <c r="N174" s="22">
        <f>IF(I174="Yes", J174-B174, "")</f>
        <v/>
      </c>
    </row>
    <row r="175">
      <c r="A175" s="20" t="inlineStr">
        <is>
          <t>LD-1192</t>
        </is>
      </c>
      <c r="B175" s="16" t="n">
        <v>46152</v>
      </c>
      <c r="C175" s="32" t="inlineStr">
        <is>
          <t>Zenith Partners</t>
        </is>
      </c>
      <c r="D175" s="32" t="inlineStr">
        <is>
          <t>info@zenithpartners.com</t>
        </is>
      </c>
      <c r="E175" s="20" t="inlineStr">
        <is>
          <t>LinkedIn</t>
        </is>
      </c>
      <c r="F175" s="20" t="inlineStr">
        <is>
          <t>Mid-Market</t>
        </is>
      </c>
      <c r="G175" s="20" t="inlineStr">
        <is>
          <t>Yes</t>
        </is>
      </c>
      <c r="H175" s="16" t="n">
        <v>46153</v>
      </c>
      <c r="I175" s="20" t="inlineStr">
        <is>
          <t>No</t>
        </is>
      </c>
      <c r="J175" s="16" t="n"/>
      <c r="K175" s="19" t="n">
        <v/>
      </c>
      <c r="L175" s="17">
        <f>IF(G175="Yes", H175-B175, "")</f>
        <v/>
      </c>
      <c r="M175" s="17">
        <f>IF(I175="Yes", J175-H175, "")</f>
        <v/>
      </c>
      <c r="N175" s="17">
        <f>IF(I175="Yes", J175-B175, "")</f>
        <v/>
      </c>
    </row>
    <row r="176">
      <c r="A176" s="25" t="inlineStr">
        <is>
          <t>LD-1138</t>
        </is>
      </c>
      <c r="B176" s="21" t="n">
        <v>46130</v>
      </c>
      <c r="C176" s="31" t="inlineStr">
        <is>
          <t>Core Group</t>
        </is>
      </c>
      <c r="D176" s="31" t="inlineStr">
        <is>
          <t>info@coregroup.com</t>
        </is>
      </c>
      <c r="E176" s="25" t="inlineStr">
        <is>
          <t>Organic / Direct</t>
        </is>
      </c>
      <c r="F176" s="25" t="inlineStr">
        <is>
          <t>Enterprise</t>
        </is>
      </c>
      <c r="G176" s="25" t="inlineStr">
        <is>
          <t>No</t>
        </is>
      </c>
      <c r="H176" s="21" t="n"/>
      <c r="I176" s="25" t="inlineStr">
        <is>
          <t>No</t>
        </is>
      </c>
      <c r="J176" s="21" t="n"/>
      <c r="K176" s="24" t="n">
        <v/>
      </c>
      <c r="L176" s="22">
        <f>IF(G176="Yes", H176-B176, "")</f>
        <v/>
      </c>
      <c r="M176" s="22">
        <f>IF(I176="Yes", J176-H176, "")</f>
        <v/>
      </c>
      <c r="N176" s="22">
        <f>IF(I176="Yes", J176-B176, "")</f>
        <v/>
      </c>
    </row>
    <row r="177">
      <c r="A177" s="20" t="inlineStr">
        <is>
          <t>LD-1366</t>
        </is>
      </c>
      <c r="B177" s="16" t="n">
        <v>46139</v>
      </c>
      <c r="C177" s="32" t="inlineStr">
        <is>
          <t>Synergy Inc</t>
        </is>
      </c>
      <c r="D177" s="32" t="inlineStr">
        <is>
          <t>info@synergyinc.com</t>
        </is>
      </c>
      <c r="E177" s="20" t="inlineStr">
        <is>
          <t>Organic / Direct</t>
        </is>
      </c>
      <c r="F177" s="20" t="inlineStr">
        <is>
          <t>Mid-Market</t>
        </is>
      </c>
      <c r="G177" s="20" t="inlineStr">
        <is>
          <t>Yes</t>
        </is>
      </c>
      <c r="H177" s="16" t="n">
        <v>46145</v>
      </c>
      <c r="I177" s="20" t="inlineStr">
        <is>
          <t>No</t>
        </is>
      </c>
      <c r="J177" s="16" t="n"/>
      <c r="K177" s="19" t="n">
        <v/>
      </c>
      <c r="L177" s="17">
        <f>IF(G177="Yes", H177-B177, "")</f>
        <v/>
      </c>
      <c r="M177" s="17">
        <f>IF(I177="Yes", J177-H177, "")</f>
        <v/>
      </c>
      <c r="N177" s="17">
        <f>IF(I177="Yes", J177-B177, "")</f>
        <v/>
      </c>
    </row>
    <row r="178">
      <c r="A178" s="25" t="inlineStr">
        <is>
          <t>LD-1027</t>
        </is>
      </c>
      <c r="B178" s="21" t="n">
        <v>46158</v>
      </c>
      <c r="C178" s="31" t="inlineStr">
        <is>
          <t>Synergy LLC</t>
        </is>
      </c>
      <c r="D178" s="31" t="inlineStr">
        <is>
          <t>info@synergyllc.com</t>
        </is>
      </c>
      <c r="E178" s="25" t="inlineStr">
        <is>
          <t>LinkedIn</t>
        </is>
      </c>
      <c r="F178" s="25" t="inlineStr">
        <is>
          <t>Enterprise</t>
        </is>
      </c>
      <c r="G178" s="25" t="inlineStr">
        <is>
          <t>Yes</t>
        </is>
      </c>
      <c r="H178" s="21" t="n">
        <v>46168</v>
      </c>
      <c r="I178" s="25" t="inlineStr">
        <is>
          <t>Yes</t>
        </is>
      </c>
      <c r="J178" s="21" t="n">
        <v>46183</v>
      </c>
      <c r="K178" s="24" t="n">
        <v>5136</v>
      </c>
      <c r="L178" s="22">
        <f>IF(G178="Yes", H178-B178, "")</f>
        <v/>
      </c>
      <c r="M178" s="22">
        <f>IF(I178="Yes", J178-H178, "")</f>
        <v/>
      </c>
      <c r="N178" s="22">
        <f>IF(I178="Yes", J178-B178, "")</f>
        <v/>
      </c>
    </row>
    <row r="179">
      <c r="A179" s="20" t="inlineStr">
        <is>
          <t>LD-1189</t>
        </is>
      </c>
      <c r="B179" s="16" t="n">
        <v>46151</v>
      </c>
      <c r="C179" s="32" t="inlineStr">
        <is>
          <t>Omega Co</t>
        </is>
      </c>
      <c r="D179" s="32" t="inlineStr">
        <is>
          <t>info@omegaco.com</t>
        </is>
      </c>
      <c r="E179" s="20" t="inlineStr">
        <is>
          <t>LinkedIn</t>
        </is>
      </c>
      <c r="F179" s="20" t="inlineStr">
        <is>
          <t>SMB</t>
        </is>
      </c>
      <c r="G179" s="20" t="inlineStr">
        <is>
          <t>Yes</t>
        </is>
      </c>
      <c r="H179" s="16" t="n">
        <v>46153</v>
      </c>
      <c r="I179" s="20" t="inlineStr">
        <is>
          <t>No</t>
        </is>
      </c>
      <c r="J179" s="16" t="n"/>
      <c r="K179" s="19" t="n">
        <v/>
      </c>
      <c r="L179" s="17">
        <f>IF(G179="Yes", H179-B179, "")</f>
        <v/>
      </c>
      <c r="M179" s="17">
        <f>IF(I179="Yes", J179-H179, "")</f>
        <v/>
      </c>
      <c r="N179" s="17">
        <f>IF(I179="Yes", J179-B179, "")</f>
        <v/>
      </c>
    </row>
    <row r="180">
      <c r="A180" s="25" t="inlineStr">
        <is>
          <t>LD-1117</t>
        </is>
      </c>
      <c r="B180" s="21" t="n">
        <v>46153</v>
      </c>
      <c r="C180" s="31" t="inlineStr">
        <is>
          <t>Pulse Global</t>
        </is>
      </c>
      <c r="D180" s="31" t="inlineStr">
        <is>
          <t>info@pulseglobal.com</t>
        </is>
      </c>
      <c r="E180" s="25" t="inlineStr">
        <is>
          <t>LinkedIn</t>
        </is>
      </c>
      <c r="F180" s="25" t="inlineStr">
        <is>
          <t>Enterprise</t>
        </is>
      </c>
      <c r="G180" s="25" t="inlineStr">
        <is>
          <t>No</t>
        </is>
      </c>
      <c r="H180" s="21" t="n"/>
      <c r="I180" s="25" t="inlineStr">
        <is>
          <t>No</t>
        </is>
      </c>
      <c r="J180" s="21" t="n"/>
      <c r="K180" s="24" t="n">
        <v/>
      </c>
      <c r="L180" s="22">
        <f>IF(G180="Yes", H180-B180, "")</f>
        <v/>
      </c>
      <c r="M180" s="22">
        <f>IF(I180="Yes", J180-H180, "")</f>
        <v/>
      </c>
      <c r="N180" s="22">
        <f>IF(I180="Yes", J180-B180, "")</f>
        <v/>
      </c>
    </row>
    <row r="181">
      <c r="A181" s="20" t="inlineStr">
        <is>
          <t>LD-1300</t>
        </is>
      </c>
      <c r="B181" s="16" t="n">
        <v>46127</v>
      </c>
      <c r="C181" s="32" t="inlineStr">
        <is>
          <t>Zenith Co</t>
        </is>
      </c>
      <c r="D181" s="32" t="inlineStr">
        <is>
          <t>info@zenithco.com</t>
        </is>
      </c>
      <c r="E181" s="20" t="inlineStr">
        <is>
          <t>Referral</t>
        </is>
      </c>
      <c r="F181" s="20" t="inlineStr">
        <is>
          <t>Mid-Market</t>
        </is>
      </c>
      <c r="G181" s="20" t="inlineStr">
        <is>
          <t>Yes</t>
        </is>
      </c>
      <c r="H181" s="16" t="n">
        <v>46133</v>
      </c>
      <c r="I181" s="20" t="inlineStr">
        <is>
          <t>No</t>
        </is>
      </c>
      <c r="J181" s="16" t="n"/>
      <c r="K181" s="19" t="n">
        <v/>
      </c>
      <c r="L181" s="17">
        <f>IF(G181="Yes", H181-B181, "")</f>
        <v/>
      </c>
      <c r="M181" s="17">
        <f>IF(I181="Yes", J181-H181, "")</f>
        <v/>
      </c>
      <c r="N181" s="17">
        <f>IF(I181="Yes", J181-B181, "")</f>
        <v/>
      </c>
    </row>
    <row r="182">
      <c r="A182" s="25" t="inlineStr">
        <is>
          <t>LD-1086</t>
        </is>
      </c>
      <c r="B182" s="21" t="n">
        <v>46117</v>
      </c>
      <c r="C182" s="31" t="inlineStr">
        <is>
          <t>Helix Co</t>
        </is>
      </c>
      <c r="D182" s="31" t="inlineStr">
        <is>
          <t>info@helixco.com</t>
        </is>
      </c>
      <c r="E182" s="25" t="inlineStr">
        <is>
          <t>Google</t>
        </is>
      </c>
      <c r="F182" s="25" t="inlineStr">
        <is>
          <t>Mid-Market</t>
        </is>
      </c>
      <c r="G182" s="25" t="inlineStr">
        <is>
          <t>No</t>
        </is>
      </c>
      <c r="H182" s="21" t="n"/>
      <c r="I182" s="25" t="inlineStr">
        <is>
          <t>No</t>
        </is>
      </c>
      <c r="J182" s="21" t="n"/>
      <c r="K182" s="24" t="n">
        <v/>
      </c>
      <c r="L182" s="22">
        <f>IF(G182="Yes", H182-B182, "")</f>
        <v/>
      </c>
      <c r="M182" s="22">
        <f>IF(I182="Yes", J182-H182, "")</f>
        <v/>
      </c>
      <c r="N182" s="22">
        <f>IF(I182="Yes", J182-B182, "")</f>
        <v/>
      </c>
    </row>
    <row r="183">
      <c r="A183" s="20" t="inlineStr">
        <is>
          <t>LD-1065</t>
        </is>
      </c>
      <c r="B183" s="16" t="n">
        <v>46092</v>
      </c>
      <c r="C183" s="32" t="inlineStr">
        <is>
          <t>Helix Partners</t>
        </is>
      </c>
      <c r="D183" s="32" t="inlineStr">
        <is>
          <t>info@helixpartners.com</t>
        </is>
      </c>
      <c r="E183" s="20" t="inlineStr">
        <is>
          <t>Referral</t>
        </is>
      </c>
      <c r="F183" s="20" t="inlineStr">
        <is>
          <t>Enterprise</t>
        </is>
      </c>
      <c r="G183" s="20" t="inlineStr">
        <is>
          <t>No</t>
        </is>
      </c>
      <c r="H183" s="16" t="n"/>
      <c r="I183" s="20" t="inlineStr">
        <is>
          <t>No</t>
        </is>
      </c>
      <c r="J183" s="16" t="n"/>
      <c r="K183" s="19" t="n">
        <v/>
      </c>
      <c r="L183" s="17">
        <f>IF(G183="Yes", H183-B183, "")</f>
        <v/>
      </c>
      <c r="M183" s="17">
        <f>IF(I183="Yes", J183-H183, "")</f>
        <v/>
      </c>
      <c r="N183" s="17">
        <f>IF(I183="Yes", J183-B183, "")</f>
        <v/>
      </c>
    </row>
    <row r="184">
      <c r="A184" s="25" t="inlineStr">
        <is>
          <t>LD-1424</t>
        </is>
      </c>
      <c r="B184" s="21" t="n">
        <v>46153</v>
      </c>
      <c r="C184" s="31" t="inlineStr">
        <is>
          <t>Beacon Solutions</t>
        </is>
      </c>
      <c r="D184" s="31" t="inlineStr">
        <is>
          <t>info@beaconsolutions.com</t>
        </is>
      </c>
      <c r="E184" s="25" t="inlineStr">
        <is>
          <t>Referral</t>
        </is>
      </c>
      <c r="F184" s="25" t="inlineStr">
        <is>
          <t>Enterprise</t>
        </is>
      </c>
      <c r="G184" s="25" t="inlineStr">
        <is>
          <t>Yes</t>
        </is>
      </c>
      <c r="H184" s="21" t="n">
        <v>46156</v>
      </c>
      <c r="I184" s="25" t="inlineStr">
        <is>
          <t>Yes</t>
        </is>
      </c>
      <c r="J184" s="21" t="n">
        <v>46163</v>
      </c>
      <c r="K184" s="24" t="n">
        <v>5785</v>
      </c>
      <c r="L184" s="22">
        <f>IF(G184="Yes", H184-B184, "")</f>
        <v/>
      </c>
      <c r="M184" s="22">
        <f>IF(I184="Yes", J184-H184, "")</f>
        <v/>
      </c>
      <c r="N184" s="22">
        <f>IF(I184="Yes", J184-B184, "")</f>
        <v/>
      </c>
    </row>
    <row r="185">
      <c r="A185" s="20" t="inlineStr">
        <is>
          <t>LD-1222</t>
        </is>
      </c>
      <c r="B185" s="16" t="n">
        <v>46089</v>
      </c>
      <c r="C185" s="32" t="inlineStr">
        <is>
          <t>Bold Partners</t>
        </is>
      </c>
      <c r="D185" s="32" t="inlineStr">
        <is>
          <t>info@boldpartners.com</t>
        </is>
      </c>
      <c r="E185" s="20" t="inlineStr">
        <is>
          <t>Cold Outreach</t>
        </is>
      </c>
      <c r="F185" s="20" t="inlineStr">
        <is>
          <t>Enterprise</t>
        </is>
      </c>
      <c r="G185" s="20" t="inlineStr">
        <is>
          <t>Yes</t>
        </is>
      </c>
      <c r="H185" s="16" t="n">
        <v>46090</v>
      </c>
      <c r="I185" s="20" t="inlineStr">
        <is>
          <t>No</t>
        </is>
      </c>
      <c r="J185" s="16" t="n"/>
      <c r="K185" s="19" t="n">
        <v/>
      </c>
      <c r="L185" s="17">
        <f>IF(G185="Yes", H185-B185, "")</f>
        <v/>
      </c>
      <c r="M185" s="17">
        <f>IF(I185="Yes", J185-H185, "")</f>
        <v/>
      </c>
      <c r="N185" s="17">
        <f>IF(I185="Yes", J185-B185, "")</f>
        <v/>
      </c>
    </row>
    <row r="186">
      <c r="A186" s="25" t="inlineStr">
        <is>
          <t>LD-1549</t>
        </is>
      </c>
      <c r="B186" s="21" t="n">
        <v>46124</v>
      </c>
      <c r="C186" s="31" t="inlineStr">
        <is>
          <t>Stellar Technologies</t>
        </is>
      </c>
      <c r="D186" s="31" t="inlineStr">
        <is>
          <t>info@stellartechnologies.com</t>
        </is>
      </c>
      <c r="E186" s="25" t="inlineStr">
        <is>
          <t>Cold Outreach</t>
        </is>
      </c>
      <c r="F186" s="25" t="inlineStr">
        <is>
          <t>Enterprise</t>
        </is>
      </c>
      <c r="G186" s="25" t="inlineStr">
        <is>
          <t>Yes</t>
        </is>
      </c>
      <c r="H186" s="21" t="n">
        <v>46134</v>
      </c>
      <c r="I186" s="25" t="inlineStr">
        <is>
          <t>Yes</t>
        </is>
      </c>
      <c r="J186" s="21" t="n">
        <v>46154</v>
      </c>
      <c r="K186" s="24" t="n">
        <v>7736</v>
      </c>
      <c r="L186" s="22">
        <f>IF(G186="Yes", H186-B186, "")</f>
        <v/>
      </c>
      <c r="M186" s="22">
        <f>IF(I186="Yes", J186-H186, "")</f>
        <v/>
      </c>
      <c r="N186" s="22">
        <f>IF(I186="Yes", J186-B186, "")</f>
        <v/>
      </c>
    </row>
    <row r="187">
      <c r="A187" s="20" t="inlineStr">
        <is>
          <t>LD-1094</t>
        </is>
      </c>
      <c r="B187" s="16" t="n">
        <v>46105</v>
      </c>
      <c r="C187" s="32" t="inlineStr">
        <is>
          <t>Nova LLC</t>
        </is>
      </c>
      <c r="D187" s="32" t="inlineStr">
        <is>
          <t>info@novallc.com</t>
        </is>
      </c>
      <c r="E187" s="20" t="inlineStr">
        <is>
          <t>Cold Outreach</t>
        </is>
      </c>
      <c r="F187" s="20" t="inlineStr">
        <is>
          <t>SMB</t>
        </is>
      </c>
      <c r="G187" s="20" t="inlineStr">
        <is>
          <t>Yes</t>
        </is>
      </c>
      <c r="H187" s="16" t="n">
        <v>46110</v>
      </c>
      <c r="I187" s="20" t="inlineStr">
        <is>
          <t>No</t>
        </is>
      </c>
      <c r="J187" s="16" t="n"/>
      <c r="K187" s="19" t="n">
        <v/>
      </c>
      <c r="L187" s="17">
        <f>IF(G187="Yes", H187-B187, "")</f>
        <v/>
      </c>
      <c r="M187" s="17">
        <f>IF(I187="Yes", J187-H187, "")</f>
        <v/>
      </c>
      <c r="N187" s="17">
        <f>IF(I187="Yes", J187-B187, "")</f>
        <v/>
      </c>
    </row>
    <row r="188">
      <c r="A188" s="25" t="inlineStr">
        <is>
          <t>LD-1454</t>
        </is>
      </c>
      <c r="B188" s="21" t="n">
        <v>46141</v>
      </c>
      <c r="C188" s="31" t="inlineStr">
        <is>
          <t>Apex Co</t>
        </is>
      </c>
      <c r="D188" s="31" t="inlineStr">
        <is>
          <t>info@apexco.com</t>
        </is>
      </c>
      <c r="E188" s="25" t="inlineStr">
        <is>
          <t>Google</t>
        </is>
      </c>
      <c r="F188" s="25" t="inlineStr">
        <is>
          <t>SMB</t>
        </is>
      </c>
      <c r="G188" s="25" t="inlineStr">
        <is>
          <t>Yes</t>
        </is>
      </c>
      <c r="H188" s="21" t="n">
        <v>46148</v>
      </c>
      <c r="I188" s="25" t="inlineStr">
        <is>
          <t>Yes</t>
        </is>
      </c>
      <c r="J188" s="21" t="n">
        <v>46168</v>
      </c>
      <c r="K188" s="24" t="n">
        <v>146</v>
      </c>
      <c r="L188" s="22">
        <f>IF(G188="Yes", H188-B188, "")</f>
        <v/>
      </c>
      <c r="M188" s="22">
        <f>IF(I188="Yes", J188-H188, "")</f>
        <v/>
      </c>
      <c r="N188" s="22">
        <f>IF(I188="Yes", J188-B188, "")</f>
        <v/>
      </c>
    </row>
    <row r="189">
      <c r="A189" s="20" t="inlineStr">
        <is>
          <t>LD-1445</t>
        </is>
      </c>
      <c r="B189" s="16" t="n">
        <v>46131</v>
      </c>
      <c r="C189" s="32" t="inlineStr">
        <is>
          <t>Synergy Technologies</t>
        </is>
      </c>
      <c r="D189" s="32" t="inlineStr">
        <is>
          <t>info@synergytechnologies.com</t>
        </is>
      </c>
      <c r="E189" s="20" t="inlineStr">
        <is>
          <t>Cold Outreach</t>
        </is>
      </c>
      <c r="F189" s="20" t="inlineStr">
        <is>
          <t>SMB</t>
        </is>
      </c>
      <c r="G189" s="20" t="inlineStr">
        <is>
          <t>Yes</t>
        </is>
      </c>
      <c r="H189" s="16" t="n">
        <v>46137</v>
      </c>
      <c r="I189" s="20" t="inlineStr">
        <is>
          <t>No</t>
        </is>
      </c>
      <c r="J189" s="16" t="n"/>
      <c r="K189" s="19" t="n">
        <v/>
      </c>
      <c r="L189" s="17">
        <f>IF(G189="Yes", H189-B189, "")</f>
        <v/>
      </c>
      <c r="M189" s="17">
        <f>IF(I189="Yes", J189-H189, "")</f>
        <v/>
      </c>
      <c r="N189" s="17">
        <f>IF(I189="Yes", J189-B189, "")</f>
        <v/>
      </c>
    </row>
    <row r="190">
      <c r="A190" s="25" t="inlineStr">
        <is>
          <t>LD-1012</t>
        </is>
      </c>
      <c r="B190" s="21" t="n">
        <v>46083</v>
      </c>
      <c r="C190" s="31" t="inlineStr">
        <is>
          <t>Vortex Global</t>
        </is>
      </c>
      <c r="D190" s="31" t="inlineStr">
        <is>
          <t>info@vortexglobal.com</t>
        </is>
      </c>
      <c r="E190" s="25" t="inlineStr">
        <is>
          <t>LinkedIn</t>
        </is>
      </c>
      <c r="F190" s="25" t="inlineStr">
        <is>
          <t>SMB</t>
        </is>
      </c>
      <c r="G190" s="25" t="inlineStr">
        <is>
          <t>Yes</t>
        </is>
      </c>
      <c r="H190" s="21" t="n">
        <v>46086</v>
      </c>
      <c r="I190" s="25" t="inlineStr">
        <is>
          <t>No</t>
        </is>
      </c>
      <c r="J190" s="21" t="n"/>
      <c r="K190" s="24" t="n">
        <v/>
      </c>
      <c r="L190" s="22">
        <f>IF(G190="Yes", H190-B190, "")</f>
        <v/>
      </c>
      <c r="M190" s="22">
        <f>IF(I190="Yes", J190-H190, "")</f>
        <v/>
      </c>
      <c r="N190" s="22">
        <f>IF(I190="Yes", J190-B190, "")</f>
        <v/>
      </c>
    </row>
    <row r="191">
      <c r="A191" s="20" t="inlineStr">
        <is>
          <t>LD-1278</t>
        </is>
      </c>
      <c r="B191" s="16" t="n">
        <v>46101</v>
      </c>
      <c r="C191" s="32" t="inlineStr">
        <is>
          <t>Omega Corp</t>
        </is>
      </c>
      <c r="D191" s="32" t="inlineStr">
        <is>
          <t>info@omegacorp.com</t>
        </is>
      </c>
      <c r="E191" s="20" t="inlineStr">
        <is>
          <t>LinkedIn</t>
        </is>
      </c>
      <c r="F191" s="20" t="inlineStr">
        <is>
          <t>SMB</t>
        </is>
      </c>
      <c r="G191" s="20" t="inlineStr">
        <is>
          <t>Yes</t>
        </is>
      </c>
      <c r="H191" s="16" t="n">
        <v>46108</v>
      </c>
      <c r="I191" s="20" t="inlineStr">
        <is>
          <t>Yes</t>
        </is>
      </c>
      <c r="J191" s="16" t="n">
        <v>46114</v>
      </c>
      <c r="K191" s="19" t="n">
        <v>179</v>
      </c>
      <c r="L191" s="17">
        <f>IF(G191="Yes", H191-B191, "")</f>
        <v/>
      </c>
      <c r="M191" s="17">
        <f>IF(I191="Yes", J191-H191, "")</f>
        <v/>
      </c>
      <c r="N191" s="17">
        <f>IF(I191="Yes", J191-B191, "")</f>
        <v/>
      </c>
    </row>
    <row r="192">
      <c r="A192" s="25" t="inlineStr">
        <is>
          <t>LD-1041</t>
        </is>
      </c>
      <c r="B192" s="21" t="n">
        <v>46120</v>
      </c>
      <c r="C192" s="31" t="inlineStr">
        <is>
          <t>Helix Co</t>
        </is>
      </c>
      <c r="D192" s="31" t="inlineStr">
        <is>
          <t>info@helixco.com</t>
        </is>
      </c>
      <c r="E192" s="25" t="inlineStr">
        <is>
          <t>Google</t>
        </is>
      </c>
      <c r="F192" s="25" t="inlineStr">
        <is>
          <t>SMB</t>
        </is>
      </c>
      <c r="G192" s="25" t="inlineStr">
        <is>
          <t>Yes</t>
        </is>
      </c>
      <c r="H192" s="21" t="n">
        <v>46127</v>
      </c>
      <c r="I192" s="25" t="inlineStr">
        <is>
          <t>No</t>
        </is>
      </c>
      <c r="J192" s="21" t="n"/>
      <c r="K192" s="24" t="n">
        <v/>
      </c>
      <c r="L192" s="22">
        <f>IF(G192="Yes", H192-B192, "")</f>
        <v/>
      </c>
      <c r="M192" s="22">
        <f>IF(I192="Yes", J192-H192, "")</f>
        <v/>
      </c>
      <c r="N192" s="22">
        <f>IF(I192="Yes", J192-B192, "")</f>
        <v/>
      </c>
    </row>
    <row r="193">
      <c r="A193" s="20" t="inlineStr">
        <is>
          <t>LD-1360</t>
        </is>
      </c>
      <c r="B193" s="16" t="n">
        <v>46083</v>
      </c>
      <c r="C193" s="32" t="inlineStr">
        <is>
          <t>Cloud Solutions</t>
        </is>
      </c>
      <c r="D193" s="32" t="inlineStr">
        <is>
          <t>info@cloudsolutions.com</t>
        </is>
      </c>
      <c r="E193" s="20" t="inlineStr">
        <is>
          <t>LinkedIn</t>
        </is>
      </c>
      <c r="F193" s="20" t="inlineStr">
        <is>
          <t>Enterprise</t>
        </is>
      </c>
      <c r="G193" s="20" t="inlineStr">
        <is>
          <t>Yes</t>
        </is>
      </c>
      <c r="H193" s="16" t="n">
        <v>46093</v>
      </c>
      <c r="I193" s="20" t="inlineStr">
        <is>
          <t>Yes</t>
        </is>
      </c>
      <c r="J193" s="16" t="n">
        <v>46105</v>
      </c>
      <c r="K193" s="19" t="n">
        <v>6947</v>
      </c>
      <c r="L193" s="17">
        <f>IF(G193="Yes", H193-B193, "")</f>
        <v/>
      </c>
      <c r="M193" s="17">
        <f>IF(I193="Yes", J193-H193, "")</f>
        <v/>
      </c>
      <c r="N193" s="17">
        <f>IF(I193="Yes", J193-B193, "")</f>
        <v/>
      </c>
    </row>
    <row r="194">
      <c r="A194" s="25" t="inlineStr">
        <is>
          <t>LD-1420</t>
        </is>
      </c>
      <c r="B194" s="21" t="n">
        <v>46142</v>
      </c>
      <c r="C194" s="31" t="inlineStr">
        <is>
          <t>Nova Technologies</t>
        </is>
      </c>
      <c r="D194" s="31" t="inlineStr">
        <is>
          <t>info@novatechnologies.com</t>
        </is>
      </c>
      <c r="E194" s="25" t="inlineStr">
        <is>
          <t>Google</t>
        </is>
      </c>
      <c r="F194" s="25" t="inlineStr">
        <is>
          <t>Enterprise</t>
        </is>
      </c>
      <c r="G194" s="25" t="inlineStr">
        <is>
          <t>Yes</t>
        </is>
      </c>
      <c r="H194" s="21" t="n">
        <v>46149</v>
      </c>
      <c r="I194" s="25" t="inlineStr">
        <is>
          <t>No</t>
        </is>
      </c>
      <c r="J194" s="21" t="n"/>
      <c r="K194" s="24" t="n">
        <v/>
      </c>
      <c r="L194" s="22">
        <f>IF(G194="Yes", H194-B194, "")</f>
        <v/>
      </c>
      <c r="M194" s="22">
        <f>IF(I194="Yes", J194-H194, "")</f>
        <v/>
      </c>
      <c r="N194" s="22">
        <f>IF(I194="Yes", J194-B194, "")</f>
        <v/>
      </c>
    </row>
    <row r="195">
      <c r="A195" s="20" t="inlineStr">
        <is>
          <t>LD-1545</t>
        </is>
      </c>
      <c r="B195" s="16" t="n">
        <v>46140</v>
      </c>
      <c r="C195" s="32" t="inlineStr">
        <is>
          <t>Helix Group</t>
        </is>
      </c>
      <c r="D195" s="32" t="inlineStr">
        <is>
          <t>info@helixgroup.com</t>
        </is>
      </c>
      <c r="E195" s="20" t="inlineStr">
        <is>
          <t>Referral</t>
        </is>
      </c>
      <c r="F195" s="20" t="inlineStr">
        <is>
          <t>Mid-Market</t>
        </is>
      </c>
      <c r="G195" s="20" t="inlineStr">
        <is>
          <t>Yes</t>
        </is>
      </c>
      <c r="H195" s="16" t="n">
        <v>46143</v>
      </c>
      <c r="I195" s="20" t="inlineStr">
        <is>
          <t>Yes</t>
        </is>
      </c>
      <c r="J195" s="16" t="n">
        <v>46163</v>
      </c>
      <c r="K195" s="19" t="n">
        <v>1013</v>
      </c>
      <c r="L195" s="17">
        <f>IF(G195="Yes", H195-B195, "")</f>
        <v/>
      </c>
      <c r="M195" s="17">
        <f>IF(I195="Yes", J195-H195, "")</f>
        <v/>
      </c>
      <c r="N195" s="17">
        <f>IF(I195="Yes", J195-B195, "")</f>
        <v/>
      </c>
    </row>
    <row r="196">
      <c r="A196" s="25" t="inlineStr">
        <is>
          <t>LD-1176</t>
        </is>
      </c>
      <c r="B196" s="21" t="n">
        <v>46112</v>
      </c>
      <c r="C196" s="31" t="inlineStr">
        <is>
          <t>Flux Inc</t>
        </is>
      </c>
      <c r="D196" s="31" t="inlineStr">
        <is>
          <t>info@fluxinc.com</t>
        </is>
      </c>
      <c r="E196" s="25" t="inlineStr">
        <is>
          <t>Webinar</t>
        </is>
      </c>
      <c r="F196" s="25" t="inlineStr">
        <is>
          <t>Enterprise</t>
        </is>
      </c>
      <c r="G196" s="25" t="inlineStr">
        <is>
          <t>Yes</t>
        </is>
      </c>
      <c r="H196" s="21" t="n">
        <v>46121</v>
      </c>
      <c r="I196" s="25" t="inlineStr">
        <is>
          <t>Yes</t>
        </is>
      </c>
      <c r="J196" s="21" t="n">
        <v>46129</v>
      </c>
      <c r="K196" s="24" t="n">
        <v>6530</v>
      </c>
      <c r="L196" s="22">
        <f>IF(G196="Yes", H196-B196, "")</f>
        <v/>
      </c>
      <c r="M196" s="22">
        <f>IF(I196="Yes", J196-H196, "")</f>
        <v/>
      </c>
      <c r="N196" s="22">
        <f>IF(I196="Yes", J196-B196, "")</f>
        <v/>
      </c>
    </row>
    <row r="197">
      <c r="A197" s="20" t="inlineStr">
        <is>
          <t>LD-1464</t>
        </is>
      </c>
      <c r="B197" s="16" t="n">
        <v>46084</v>
      </c>
      <c r="C197" s="32" t="inlineStr">
        <is>
          <t>Flux Solutions</t>
        </is>
      </c>
      <c r="D197" s="32" t="inlineStr">
        <is>
          <t>info@fluxsolutions.com</t>
        </is>
      </c>
      <c r="E197" s="20" t="inlineStr">
        <is>
          <t>Cold Outreach</t>
        </is>
      </c>
      <c r="F197" s="20" t="inlineStr">
        <is>
          <t>Mid-Market</t>
        </is>
      </c>
      <c r="G197" s="20" t="inlineStr">
        <is>
          <t>Yes</t>
        </is>
      </c>
      <c r="H197" s="16" t="n">
        <v>46092</v>
      </c>
      <c r="I197" s="20" t="inlineStr">
        <is>
          <t>No</t>
        </is>
      </c>
      <c r="J197" s="16" t="n"/>
      <c r="K197" s="19" t="n">
        <v/>
      </c>
      <c r="L197" s="17">
        <f>IF(G197="Yes", H197-B197, "")</f>
        <v/>
      </c>
      <c r="M197" s="17">
        <f>IF(I197="Yes", J197-H197, "")</f>
        <v/>
      </c>
      <c r="N197" s="17">
        <f>IF(I197="Yes", J197-B197, "")</f>
        <v/>
      </c>
    </row>
    <row r="198">
      <c r="A198" s="25" t="inlineStr">
        <is>
          <t>LD-1345</t>
        </is>
      </c>
      <c r="B198" s="21" t="n">
        <v>46113</v>
      </c>
      <c r="C198" s="31" t="inlineStr">
        <is>
          <t>Flux Technologies</t>
        </is>
      </c>
      <c r="D198" s="31" t="inlineStr">
        <is>
          <t>info@fluxtechnologies.com</t>
        </is>
      </c>
      <c r="E198" s="25" t="inlineStr">
        <is>
          <t>Cold Outreach</t>
        </is>
      </c>
      <c r="F198" s="25" t="inlineStr">
        <is>
          <t>Mid-Market</t>
        </is>
      </c>
      <c r="G198" s="25" t="inlineStr">
        <is>
          <t>Yes</t>
        </is>
      </c>
      <c r="H198" s="21" t="n">
        <v>46114</v>
      </c>
      <c r="I198" s="25" t="inlineStr">
        <is>
          <t>Yes</t>
        </is>
      </c>
      <c r="J198" s="21" t="n">
        <v>46128</v>
      </c>
      <c r="K198" s="24" t="n">
        <v>966</v>
      </c>
      <c r="L198" s="22">
        <f>IF(G198="Yes", H198-B198, "")</f>
        <v/>
      </c>
      <c r="M198" s="22">
        <f>IF(I198="Yes", J198-H198, "")</f>
        <v/>
      </c>
      <c r="N198" s="22">
        <f>IF(I198="Yes", J198-B198, "")</f>
        <v/>
      </c>
    </row>
    <row r="199">
      <c r="A199" s="20" t="inlineStr">
        <is>
          <t>LD-1215</t>
        </is>
      </c>
      <c r="B199" s="16" t="n">
        <v>46091</v>
      </c>
      <c r="C199" s="32" t="inlineStr">
        <is>
          <t>Shift Global</t>
        </is>
      </c>
      <c r="D199" s="32" t="inlineStr">
        <is>
          <t>info@shiftglobal.com</t>
        </is>
      </c>
      <c r="E199" s="20" t="inlineStr">
        <is>
          <t>LinkedIn</t>
        </is>
      </c>
      <c r="F199" s="20" t="inlineStr">
        <is>
          <t>Mid-Market</t>
        </is>
      </c>
      <c r="G199" s="20" t="inlineStr">
        <is>
          <t>No</t>
        </is>
      </c>
      <c r="H199" s="16" t="n"/>
      <c r="I199" s="20" t="inlineStr">
        <is>
          <t>No</t>
        </is>
      </c>
      <c r="J199" s="16" t="n"/>
      <c r="K199" s="19" t="n">
        <v/>
      </c>
      <c r="L199" s="17">
        <f>IF(G199="Yes", H199-B199, "")</f>
        <v/>
      </c>
      <c r="M199" s="17">
        <f>IF(I199="Yes", J199-H199, "")</f>
        <v/>
      </c>
      <c r="N199" s="17">
        <f>IF(I199="Yes", J199-B199, "")</f>
        <v/>
      </c>
    </row>
    <row r="200">
      <c r="A200" s="25" t="inlineStr">
        <is>
          <t>LD-1014</t>
        </is>
      </c>
      <c r="B200" s="21" t="n">
        <v>46082</v>
      </c>
      <c r="C200" s="31" t="inlineStr">
        <is>
          <t>Zenith Inc</t>
        </is>
      </c>
      <c r="D200" s="31" t="inlineStr">
        <is>
          <t>info@zenithinc.com</t>
        </is>
      </c>
      <c r="E200" s="25" t="inlineStr">
        <is>
          <t>Organic / Direct</t>
        </is>
      </c>
      <c r="F200" s="25" t="inlineStr">
        <is>
          <t>Mid-Market</t>
        </is>
      </c>
      <c r="G200" s="25" t="inlineStr">
        <is>
          <t>Yes</t>
        </is>
      </c>
      <c r="H200" s="21" t="n">
        <v>46086</v>
      </c>
      <c r="I200" s="25" t="inlineStr">
        <is>
          <t>No</t>
        </is>
      </c>
      <c r="J200" s="21" t="n"/>
      <c r="K200" s="24" t="n">
        <v/>
      </c>
      <c r="L200" s="22">
        <f>IF(G200="Yes", H200-B200, "")</f>
        <v/>
      </c>
      <c r="M200" s="22">
        <f>IF(I200="Yes", J200-H200, "")</f>
        <v/>
      </c>
      <c r="N200" s="22">
        <f>IF(I200="Yes", J200-B200, "")</f>
        <v/>
      </c>
    </row>
    <row r="201">
      <c r="A201" s="20" t="inlineStr">
        <is>
          <t>LD-1283</t>
        </is>
      </c>
      <c r="B201" s="16" t="n">
        <v>46096</v>
      </c>
      <c r="C201" s="32" t="inlineStr">
        <is>
          <t>Cloud Inc</t>
        </is>
      </c>
      <c r="D201" s="32" t="inlineStr">
        <is>
          <t>info@cloudinc.com</t>
        </is>
      </c>
      <c r="E201" s="20" t="inlineStr">
        <is>
          <t>LinkedIn</t>
        </is>
      </c>
      <c r="F201" s="20" t="inlineStr">
        <is>
          <t>SMB</t>
        </is>
      </c>
      <c r="G201" s="20" t="inlineStr">
        <is>
          <t>Yes</t>
        </is>
      </c>
      <c r="H201" s="16" t="n">
        <v>46103</v>
      </c>
      <c r="I201" s="20" t="inlineStr">
        <is>
          <t>No</t>
        </is>
      </c>
      <c r="J201" s="16" t="n"/>
      <c r="K201" s="19" t="n">
        <v/>
      </c>
      <c r="L201" s="17">
        <f>IF(G201="Yes", H201-B201, "")</f>
        <v/>
      </c>
      <c r="M201" s="17">
        <f>IF(I201="Yes", J201-H201, "")</f>
        <v/>
      </c>
      <c r="N201" s="17">
        <f>IF(I201="Yes", J201-B201, "")</f>
        <v/>
      </c>
    </row>
    <row r="202">
      <c r="A202" s="25" t="inlineStr">
        <is>
          <t>LD-1510</t>
        </is>
      </c>
      <c r="B202" s="21" t="n">
        <v>46102</v>
      </c>
      <c r="C202" s="31" t="inlineStr">
        <is>
          <t>Bold Global</t>
        </is>
      </c>
      <c r="D202" s="31" t="inlineStr">
        <is>
          <t>info@boldglobal.com</t>
        </is>
      </c>
      <c r="E202" s="25" t="inlineStr">
        <is>
          <t>Cold Outreach</t>
        </is>
      </c>
      <c r="F202" s="25" t="inlineStr">
        <is>
          <t>Mid-Market</t>
        </is>
      </c>
      <c r="G202" s="25" t="inlineStr">
        <is>
          <t>No</t>
        </is>
      </c>
      <c r="H202" s="21" t="n"/>
      <c r="I202" s="25" t="inlineStr">
        <is>
          <t>No</t>
        </is>
      </c>
      <c r="J202" s="21" t="n"/>
      <c r="K202" s="24" t="n">
        <v/>
      </c>
      <c r="L202" s="22">
        <f>IF(G202="Yes", H202-B202, "")</f>
        <v/>
      </c>
      <c r="M202" s="22">
        <f>IF(I202="Yes", J202-H202, "")</f>
        <v/>
      </c>
      <c r="N202" s="22">
        <f>IF(I202="Yes", J202-B202, "")</f>
        <v/>
      </c>
    </row>
    <row r="203">
      <c r="A203" s="20" t="inlineStr">
        <is>
          <t>LD-1396</t>
        </is>
      </c>
      <c r="B203" s="16" t="n">
        <v>46156</v>
      </c>
      <c r="C203" s="32" t="inlineStr">
        <is>
          <t>Shift Co</t>
        </is>
      </c>
      <c r="D203" s="32" t="inlineStr">
        <is>
          <t>info@shiftco.com</t>
        </is>
      </c>
      <c r="E203" s="20" t="inlineStr">
        <is>
          <t>Google</t>
        </is>
      </c>
      <c r="F203" s="20" t="inlineStr">
        <is>
          <t>SMB</t>
        </is>
      </c>
      <c r="G203" s="20" t="inlineStr">
        <is>
          <t>Yes</t>
        </is>
      </c>
      <c r="H203" s="16" t="n">
        <v>46160</v>
      </c>
      <c r="I203" s="20" t="inlineStr">
        <is>
          <t>No</t>
        </is>
      </c>
      <c r="J203" s="16" t="n"/>
      <c r="K203" s="19" t="n">
        <v/>
      </c>
      <c r="L203" s="17">
        <f>IF(G203="Yes", H203-B203, "")</f>
        <v/>
      </c>
      <c r="M203" s="17">
        <f>IF(I203="Yes", J203-H203, "")</f>
        <v/>
      </c>
      <c r="N203" s="17">
        <f>IF(I203="Yes", J203-B203, "")</f>
        <v/>
      </c>
    </row>
    <row r="204">
      <c r="A204" s="25" t="inlineStr">
        <is>
          <t>LD-1388</t>
        </is>
      </c>
      <c r="B204" s="21" t="n">
        <v>46153</v>
      </c>
      <c r="C204" s="31" t="inlineStr">
        <is>
          <t>Synergy Technologies</t>
        </is>
      </c>
      <c r="D204" s="31" t="inlineStr">
        <is>
          <t>info@synergytechnologies.com</t>
        </is>
      </c>
      <c r="E204" s="25" t="inlineStr">
        <is>
          <t>Referral</t>
        </is>
      </c>
      <c r="F204" s="25" t="inlineStr">
        <is>
          <t>Mid-Market</t>
        </is>
      </c>
      <c r="G204" s="25" t="inlineStr">
        <is>
          <t>Yes</t>
        </is>
      </c>
      <c r="H204" s="21" t="n">
        <v>46160</v>
      </c>
      <c r="I204" s="25" t="inlineStr">
        <is>
          <t>No</t>
        </is>
      </c>
      <c r="J204" s="21" t="n"/>
      <c r="K204" s="24" t="n">
        <v/>
      </c>
      <c r="L204" s="22">
        <f>IF(G204="Yes", H204-B204, "")</f>
        <v/>
      </c>
      <c r="M204" s="22">
        <f>IF(I204="Yes", J204-H204, "")</f>
        <v/>
      </c>
      <c r="N204" s="22">
        <f>IF(I204="Yes", J204-B204, "")</f>
        <v/>
      </c>
    </row>
    <row r="205">
      <c r="A205" s="20" t="inlineStr">
        <is>
          <t>LD-1246</t>
        </is>
      </c>
      <c r="B205" s="16" t="n">
        <v>46095</v>
      </c>
      <c r="C205" s="32" t="inlineStr">
        <is>
          <t>Nova Corp</t>
        </is>
      </c>
      <c r="D205" s="32" t="inlineStr">
        <is>
          <t>info@novacorp.com</t>
        </is>
      </c>
      <c r="E205" s="20" t="inlineStr">
        <is>
          <t>LinkedIn</t>
        </is>
      </c>
      <c r="F205" s="20" t="inlineStr">
        <is>
          <t>Mid-Market</t>
        </is>
      </c>
      <c r="G205" s="20" t="inlineStr">
        <is>
          <t>Yes</t>
        </is>
      </c>
      <c r="H205" s="16" t="n">
        <v>46099</v>
      </c>
      <c r="I205" s="20" t="inlineStr">
        <is>
          <t>No</t>
        </is>
      </c>
      <c r="J205" s="16" t="n"/>
      <c r="K205" s="19" t="n">
        <v/>
      </c>
      <c r="L205" s="17">
        <f>IF(G205="Yes", H205-B205, "")</f>
        <v/>
      </c>
      <c r="M205" s="17">
        <f>IF(I205="Yes", J205-H205, "")</f>
        <v/>
      </c>
      <c r="N205" s="17">
        <f>IF(I205="Yes", J205-B205, "")</f>
        <v/>
      </c>
    </row>
    <row r="206"/>
    <row r="207">
      <c r="A207" s="20" t="inlineStr">
        <is>
          <t>LD-1471</t>
        </is>
      </c>
      <c r="B207" s="16" t="n">
        <v>46146</v>
      </c>
      <c r="C207" s="32" t="inlineStr">
        <is>
          <t>Summit Global</t>
        </is>
      </c>
      <c r="D207" s="32" t="inlineStr">
        <is>
          <t>info@summitglobal.com</t>
        </is>
      </c>
      <c r="E207" s="20" t="inlineStr">
        <is>
          <t>LinkedIn</t>
        </is>
      </c>
      <c r="F207" s="20" t="inlineStr">
        <is>
          <t>Mid-Market</t>
        </is>
      </c>
      <c r="G207" s="20" t="inlineStr">
        <is>
          <t>Yes</t>
        </is>
      </c>
      <c r="H207" s="16" t="n">
        <v>46152</v>
      </c>
      <c r="I207" s="20" t="inlineStr">
        <is>
          <t>No</t>
        </is>
      </c>
      <c r="J207" s="16" t="n"/>
      <c r="K207" s="19" t="n">
        <v/>
      </c>
      <c r="L207" s="17">
        <f>IF(G207="Yes", H207-B207, "")</f>
        <v/>
      </c>
      <c r="M207" s="17">
        <f>IF(I207="Yes", J207-H207, "")</f>
        <v/>
      </c>
      <c r="N207" s="17">
        <f>IF(I207="Yes", J207-B207, "")</f>
        <v/>
      </c>
    </row>
    <row r="208">
      <c r="A208" s="25" t="inlineStr">
        <is>
          <t>LD-1468</t>
        </is>
      </c>
      <c r="B208" s="21" t="n">
        <v>46089</v>
      </c>
      <c r="C208" s="31" t="inlineStr">
        <is>
          <t>Helix Co</t>
        </is>
      </c>
      <c r="D208" s="31" t="inlineStr">
        <is>
          <t>info@helixco.com</t>
        </is>
      </c>
      <c r="E208" s="25" t="inlineStr">
        <is>
          <t>Cold Outreach</t>
        </is>
      </c>
      <c r="F208" s="25" t="inlineStr">
        <is>
          <t>Mid-Market</t>
        </is>
      </c>
      <c r="G208" s="25" t="inlineStr">
        <is>
          <t>Yes</t>
        </is>
      </c>
      <c r="H208" s="21" t="n">
        <v>46091</v>
      </c>
      <c r="I208" s="25" t="inlineStr">
        <is>
          <t>No</t>
        </is>
      </c>
      <c r="J208" s="21" t="n"/>
      <c r="K208" s="24" t="n">
        <v/>
      </c>
      <c r="L208" s="22">
        <f>IF(G208="Yes", H208-B208, "")</f>
        <v/>
      </c>
      <c r="M208" s="22">
        <f>IF(I208="Yes", J208-H208, "")</f>
        <v/>
      </c>
      <c r="N208" s="22">
        <f>IF(I208="Yes", J208-B208, "")</f>
        <v/>
      </c>
    </row>
    <row r="209">
      <c r="A209" s="20" t="inlineStr">
        <is>
          <t>LD-1139</t>
        </is>
      </c>
      <c r="B209" s="16" t="n">
        <v>46093</v>
      </c>
      <c r="C209" s="32" t="inlineStr">
        <is>
          <t>Helix Global</t>
        </is>
      </c>
      <c r="D209" s="32" t="inlineStr">
        <is>
          <t>info@helixglobal.com</t>
        </is>
      </c>
      <c r="E209" s="20" t="inlineStr">
        <is>
          <t>Google</t>
        </is>
      </c>
      <c r="F209" s="20" t="inlineStr">
        <is>
          <t>SMB</t>
        </is>
      </c>
      <c r="G209" s="20" t="inlineStr">
        <is>
          <t>Yes</t>
        </is>
      </c>
      <c r="H209" s="16" t="n">
        <v>46101</v>
      </c>
      <c r="I209" s="20" t="inlineStr">
        <is>
          <t>Yes</t>
        </is>
      </c>
      <c r="J209" s="16" t="n">
        <v>46110</v>
      </c>
      <c r="K209" s="19" t="n">
        <v>139</v>
      </c>
      <c r="L209" s="17">
        <f>IF(G209="Yes", H209-B209, "")</f>
        <v/>
      </c>
      <c r="M209" s="17">
        <f>IF(I209="Yes", J209-H209, "")</f>
        <v/>
      </c>
      <c r="N209" s="17">
        <f>IF(I209="Yes", J209-B209, "")</f>
        <v/>
      </c>
    </row>
    <row r="210">
      <c r="A210" s="25" t="inlineStr">
        <is>
          <t>LD-1195</t>
        </is>
      </c>
      <c r="B210" s="21" t="n">
        <v>46099</v>
      </c>
      <c r="C210" s="31" t="inlineStr">
        <is>
          <t>Quantum Corp</t>
        </is>
      </c>
      <c r="D210" s="31" t="inlineStr">
        <is>
          <t>info@quantumcorp.com</t>
        </is>
      </c>
      <c r="E210" s="25" t="inlineStr">
        <is>
          <t>Webinar</t>
        </is>
      </c>
      <c r="F210" s="25" t="inlineStr">
        <is>
          <t>Mid-Market</t>
        </is>
      </c>
      <c r="G210" s="25" t="inlineStr">
        <is>
          <t>No</t>
        </is>
      </c>
      <c r="H210" s="21" t="n"/>
      <c r="I210" s="25" t="inlineStr">
        <is>
          <t>No</t>
        </is>
      </c>
      <c r="J210" s="21" t="n"/>
      <c r="K210" s="24" t="n">
        <v/>
      </c>
      <c r="L210" s="22">
        <f>IF(G210="Yes", H210-B210, "")</f>
        <v/>
      </c>
      <c r="M210" s="22">
        <f>IF(I210="Yes", J210-H210, "")</f>
        <v/>
      </c>
      <c r="N210" s="22">
        <f>IF(I210="Yes", J210-B210, "")</f>
        <v/>
      </c>
    </row>
    <row r="211">
      <c r="A211" s="20" t="inlineStr">
        <is>
          <t>LD-1093</t>
        </is>
      </c>
      <c r="B211" s="16" t="n">
        <v>46094</v>
      </c>
      <c r="C211" s="32" t="inlineStr">
        <is>
          <t>Stellar Inc</t>
        </is>
      </c>
      <c r="D211" s="32" t="inlineStr">
        <is>
          <t>info@stellarinc.com</t>
        </is>
      </c>
      <c r="E211" s="20" t="inlineStr">
        <is>
          <t>LinkedIn</t>
        </is>
      </c>
      <c r="F211" s="20" t="inlineStr">
        <is>
          <t>Mid-Market</t>
        </is>
      </c>
      <c r="G211" s="20" t="inlineStr">
        <is>
          <t>Yes</t>
        </is>
      </c>
      <c r="H211" s="16" t="n">
        <v>46097</v>
      </c>
      <c r="I211" s="20" t="inlineStr">
        <is>
          <t>Yes</t>
        </is>
      </c>
      <c r="J211" s="16" t="n">
        <v>46115</v>
      </c>
      <c r="K211" s="19" t="n">
        <v>1079</v>
      </c>
      <c r="L211" s="17">
        <f>IF(G211="Yes", H211-B211, "")</f>
        <v/>
      </c>
      <c r="M211" s="17">
        <f>IF(I211="Yes", J211-H211, "")</f>
        <v/>
      </c>
      <c r="N211" s="17">
        <f>IF(I211="Yes", J211-B211, "")</f>
        <v/>
      </c>
    </row>
    <row r="212">
      <c r="A212" s="25" t="inlineStr">
        <is>
          <t>LD-1159</t>
        </is>
      </c>
      <c r="B212" s="21" t="n">
        <v>46133</v>
      </c>
      <c r="C212" s="31" t="inlineStr">
        <is>
          <t>Summit Inc</t>
        </is>
      </c>
      <c r="D212" s="31" t="inlineStr">
        <is>
          <t>info@summitinc.com</t>
        </is>
      </c>
      <c r="E212" s="25" t="inlineStr">
        <is>
          <t>Organic / Direct</t>
        </is>
      </c>
      <c r="F212" s="25" t="inlineStr">
        <is>
          <t>Mid-Market</t>
        </is>
      </c>
      <c r="G212" s="25" t="inlineStr">
        <is>
          <t>Yes</t>
        </is>
      </c>
      <c r="H212" s="21" t="n">
        <v>46135</v>
      </c>
      <c r="I212" s="25" t="inlineStr">
        <is>
          <t>Yes</t>
        </is>
      </c>
      <c r="J212" s="21" t="n">
        <v>46151</v>
      </c>
      <c r="K212" s="24" t="n">
        <v>870</v>
      </c>
      <c r="L212" s="22">
        <f>IF(G212="Yes", H212-B212, "")</f>
        <v/>
      </c>
      <c r="M212" s="22">
        <f>IF(I212="Yes", J212-H212, "")</f>
        <v/>
      </c>
      <c r="N212" s="22">
        <f>IF(I212="Yes", J212-B212, "")</f>
        <v/>
      </c>
    </row>
    <row r="213">
      <c r="A213" s="20" t="inlineStr">
        <is>
          <t>LD-1025</t>
        </is>
      </c>
      <c r="B213" s="16" t="n">
        <v>46153</v>
      </c>
      <c r="C213" s="32" t="inlineStr">
        <is>
          <t>Zenith Group</t>
        </is>
      </c>
      <c r="D213" s="32" t="inlineStr">
        <is>
          <t>info@zenithgroup.com</t>
        </is>
      </c>
      <c r="E213" s="20" t="inlineStr">
        <is>
          <t>Google</t>
        </is>
      </c>
      <c r="F213" s="20" t="inlineStr">
        <is>
          <t>Enterprise</t>
        </is>
      </c>
      <c r="G213" s="20" t="inlineStr">
        <is>
          <t>No</t>
        </is>
      </c>
      <c r="H213" s="16" t="n"/>
      <c r="I213" s="20" t="inlineStr">
        <is>
          <t>No</t>
        </is>
      </c>
      <c r="J213" s="16" t="n"/>
      <c r="K213" s="19" t="n">
        <v/>
      </c>
      <c r="L213" s="17">
        <f>IF(G213="Yes", H213-B213, "")</f>
        <v/>
      </c>
      <c r="M213" s="17">
        <f>IF(I213="Yes", J213-H213, "")</f>
        <v/>
      </c>
      <c r="N213" s="17">
        <f>IF(I213="Yes", J213-B213, "")</f>
        <v/>
      </c>
    </row>
    <row r="214">
      <c r="A214" s="25" t="inlineStr">
        <is>
          <t>LD-1440</t>
        </is>
      </c>
      <c r="B214" s="21" t="n">
        <v>46123</v>
      </c>
      <c r="C214" s="31" t="inlineStr">
        <is>
          <t>Zenith Partners</t>
        </is>
      </c>
      <c r="D214" s="31" t="inlineStr">
        <is>
          <t>info@zenithpartners.com</t>
        </is>
      </c>
      <c r="E214" s="25" t="inlineStr">
        <is>
          <t>LinkedIn</t>
        </is>
      </c>
      <c r="F214" s="25" t="inlineStr">
        <is>
          <t>Mid-Market</t>
        </is>
      </c>
      <c r="G214" s="25" t="inlineStr">
        <is>
          <t>Yes</t>
        </is>
      </c>
      <c r="H214" s="21" t="n">
        <v>46126</v>
      </c>
      <c r="I214" s="25" t="inlineStr">
        <is>
          <t>No</t>
        </is>
      </c>
      <c r="J214" s="21" t="n"/>
      <c r="K214" s="24" t="n">
        <v/>
      </c>
      <c r="L214" s="22">
        <f>IF(G214="Yes", H214-B214, "")</f>
        <v/>
      </c>
      <c r="M214" s="22">
        <f>IF(I214="Yes", J214-H214, "")</f>
        <v/>
      </c>
      <c r="N214" s="22">
        <f>IF(I214="Yes", J214-B214, "")</f>
        <v/>
      </c>
    </row>
    <row r="215">
      <c r="A215" s="20" t="inlineStr">
        <is>
          <t>LD-1531</t>
        </is>
      </c>
      <c r="B215" s="16" t="n">
        <v>46158</v>
      </c>
      <c r="C215" s="32" t="inlineStr">
        <is>
          <t>Flux Technologies</t>
        </is>
      </c>
      <c r="D215" s="32" t="inlineStr">
        <is>
          <t>info@fluxtechnologies.com</t>
        </is>
      </c>
      <c r="E215" s="20" t="inlineStr">
        <is>
          <t>Organic / Direct</t>
        </is>
      </c>
      <c r="F215" s="20" t="inlineStr">
        <is>
          <t>Enterprise</t>
        </is>
      </c>
      <c r="G215" s="20" t="inlineStr">
        <is>
          <t>No</t>
        </is>
      </c>
      <c r="H215" s="16" t="n"/>
      <c r="I215" s="20" t="inlineStr">
        <is>
          <t>No</t>
        </is>
      </c>
      <c r="J215" s="16" t="n"/>
      <c r="K215" s="19" t="n">
        <v/>
      </c>
      <c r="L215" s="17">
        <f>IF(G215="Yes", H215-B215, "")</f>
        <v/>
      </c>
      <c r="M215" s="17">
        <f>IF(I215="Yes", J215-H215, "")</f>
        <v/>
      </c>
      <c r="N215" s="17">
        <f>IF(I215="Yes", J215-B215, "")</f>
        <v/>
      </c>
    </row>
    <row r="216">
      <c r="A216" s="25" t="inlineStr">
        <is>
          <t>LD-1299</t>
        </is>
      </c>
      <c r="B216" s="21" t="n">
        <v>46119</v>
      </c>
      <c r="C216" s="31" t="inlineStr">
        <is>
          <t>Pulse Partners</t>
        </is>
      </c>
      <c r="D216" s="31" t="inlineStr">
        <is>
          <t>info@pulsepartners.com</t>
        </is>
      </c>
      <c r="E216" s="25" t="inlineStr">
        <is>
          <t>Google</t>
        </is>
      </c>
      <c r="F216" s="25" t="inlineStr">
        <is>
          <t>Mid-Market</t>
        </is>
      </c>
      <c r="G216" s="25" t="inlineStr">
        <is>
          <t>Yes</t>
        </is>
      </c>
      <c r="H216" s="21" t="n">
        <v>46128</v>
      </c>
      <c r="I216" s="25" t="inlineStr">
        <is>
          <t>Yes</t>
        </is>
      </c>
      <c r="J216" s="21" t="n">
        <v>46138</v>
      </c>
      <c r="K216" s="24" t="n">
        <v>891</v>
      </c>
      <c r="L216" s="22">
        <f>IF(G216="Yes", H216-B216, "")</f>
        <v/>
      </c>
      <c r="M216" s="22">
        <f>IF(I216="Yes", J216-H216, "")</f>
        <v/>
      </c>
      <c r="N216" s="22">
        <f>IF(I216="Yes", J216-B216, "")</f>
        <v/>
      </c>
    </row>
    <row r="217">
      <c r="A217" s="20" t="inlineStr">
        <is>
          <t>LD-1320</t>
        </is>
      </c>
      <c r="B217" s="16" t="n">
        <v>46142</v>
      </c>
      <c r="C217" s="32" t="inlineStr">
        <is>
          <t>Synergy Partners</t>
        </is>
      </c>
      <c r="D217" s="32" t="inlineStr">
        <is>
          <t>info@synergypartners.com</t>
        </is>
      </c>
      <c r="E217" s="20" t="inlineStr">
        <is>
          <t>Organic / Direct</t>
        </is>
      </c>
      <c r="F217" s="20" t="inlineStr">
        <is>
          <t>SMB</t>
        </is>
      </c>
      <c r="G217" s="20" t="inlineStr">
        <is>
          <t>Yes</t>
        </is>
      </c>
      <c r="H217" s="16" t="n">
        <v>46151</v>
      </c>
      <c r="I217" s="20" t="inlineStr">
        <is>
          <t>No</t>
        </is>
      </c>
      <c r="J217" s="16" t="n"/>
      <c r="K217" s="19" t="n">
        <v/>
      </c>
      <c r="L217" s="17">
        <f>IF(G217="Yes", H217-B217, "")</f>
        <v/>
      </c>
      <c r="M217" s="17">
        <f>IF(I217="Yes", J217-H217, "")</f>
        <v/>
      </c>
      <c r="N217" s="17">
        <f>IF(I217="Yes", J217-B217, "")</f>
        <v/>
      </c>
    </row>
    <row r="218">
      <c r="A218" s="25" t="inlineStr">
        <is>
          <t>LD-1143</t>
        </is>
      </c>
      <c r="B218" s="21" t="n">
        <v>46142</v>
      </c>
      <c r="C218" s="31" t="inlineStr">
        <is>
          <t>Shift Partners</t>
        </is>
      </c>
      <c r="D218" s="31" t="inlineStr">
        <is>
          <t>info@shiftpartners.com</t>
        </is>
      </c>
      <c r="E218" s="25" t="inlineStr">
        <is>
          <t>Referral</t>
        </is>
      </c>
      <c r="F218" s="25" t="inlineStr">
        <is>
          <t>Enterprise</t>
        </is>
      </c>
      <c r="G218" s="25" t="inlineStr">
        <is>
          <t>Yes</t>
        </is>
      </c>
      <c r="H218" s="21" t="n">
        <v>46145</v>
      </c>
      <c r="I218" s="25" t="inlineStr">
        <is>
          <t>No</t>
        </is>
      </c>
      <c r="J218" s="21" t="n"/>
      <c r="K218" s="24" t="n">
        <v/>
      </c>
      <c r="L218" s="22">
        <f>IF(G218="Yes", H218-B218, "")</f>
        <v/>
      </c>
      <c r="M218" s="22">
        <f>IF(I218="Yes", J218-H218, "")</f>
        <v/>
      </c>
      <c r="N218" s="22">
        <f>IF(I218="Yes", J218-B218, "")</f>
        <v/>
      </c>
    </row>
    <row r="219">
      <c r="A219" s="20" t="inlineStr">
        <is>
          <t>LD-1382</t>
        </is>
      </c>
      <c r="B219" s="16" t="n">
        <v>46148</v>
      </c>
      <c r="C219" s="32" t="inlineStr">
        <is>
          <t>Cloud Group</t>
        </is>
      </c>
      <c r="D219" s="32" t="inlineStr">
        <is>
          <t>info@cloudgroup.com</t>
        </is>
      </c>
      <c r="E219" s="20" t="inlineStr">
        <is>
          <t>Google</t>
        </is>
      </c>
      <c r="F219" s="20" t="inlineStr">
        <is>
          <t>Mid-Market</t>
        </is>
      </c>
      <c r="G219" s="20" t="inlineStr">
        <is>
          <t>Yes</t>
        </is>
      </c>
      <c r="H219" s="16" t="n">
        <v>46152</v>
      </c>
      <c r="I219" s="20" t="inlineStr">
        <is>
          <t>No</t>
        </is>
      </c>
      <c r="J219" s="16" t="n"/>
      <c r="K219" s="19" t="n">
        <v/>
      </c>
      <c r="L219" s="17">
        <f>IF(G219="Yes", H219-B219, "")</f>
        <v/>
      </c>
      <c r="M219" s="17">
        <f>IF(I219="Yes", J219-H219, "")</f>
        <v/>
      </c>
      <c r="N219" s="17">
        <f>IF(I219="Yes", J219-B219, "")</f>
        <v/>
      </c>
    </row>
    <row r="220">
      <c r="A220" s="25" t="inlineStr">
        <is>
          <t>LD-1108</t>
        </is>
      </c>
      <c r="B220" s="21" t="n">
        <v>46152</v>
      </c>
      <c r="C220" s="31" t="inlineStr">
        <is>
          <t>Quantum Solutions</t>
        </is>
      </c>
      <c r="D220" s="31" t="inlineStr">
        <is>
          <t>info@quantumsolutions.com</t>
        </is>
      </c>
      <c r="E220" s="25" t="inlineStr">
        <is>
          <t>Cold Outreach</t>
        </is>
      </c>
      <c r="F220" s="25" t="inlineStr">
        <is>
          <t>SMB</t>
        </is>
      </c>
      <c r="G220" s="25" t="inlineStr">
        <is>
          <t>Yes</t>
        </is>
      </c>
      <c r="H220" s="21" t="n">
        <v>46155</v>
      </c>
      <c r="I220" s="25" t="inlineStr">
        <is>
          <t>No</t>
        </is>
      </c>
      <c r="J220" s="21" t="n"/>
      <c r="K220" s="24" t="n">
        <v/>
      </c>
      <c r="L220" s="22">
        <f>IF(G220="Yes", H220-B220, "")</f>
        <v/>
      </c>
      <c r="M220" s="22">
        <f>IF(I220="Yes", J220-H220, "")</f>
        <v/>
      </c>
      <c r="N220" s="22">
        <f>IF(I220="Yes", J220-B220, "")</f>
        <v/>
      </c>
    </row>
    <row r="221">
      <c r="A221" s="20" t="inlineStr">
        <is>
          <t>LD-1090</t>
        </is>
      </c>
      <c r="B221" s="16" t="n">
        <v>46138</v>
      </c>
      <c r="C221" s="32" t="inlineStr">
        <is>
          <t>Alpha Inc</t>
        </is>
      </c>
      <c r="D221" s="32" t="inlineStr">
        <is>
          <t>info@alphainc.com</t>
        </is>
      </c>
      <c r="E221" s="20" t="inlineStr">
        <is>
          <t>Webinar</t>
        </is>
      </c>
      <c r="F221" s="20" t="inlineStr">
        <is>
          <t>SMB</t>
        </is>
      </c>
      <c r="G221" s="20" t="inlineStr">
        <is>
          <t>Yes</t>
        </is>
      </c>
      <c r="H221" s="16" t="n">
        <v>46143</v>
      </c>
      <c r="I221" s="20" t="inlineStr">
        <is>
          <t>No</t>
        </is>
      </c>
      <c r="J221" s="16" t="n"/>
      <c r="K221" s="19" t="n">
        <v/>
      </c>
      <c r="L221" s="17">
        <f>IF(G221="Yes", H221-B221, "")</f>
        <v/>
      </c>
      <c r="M221" s="17">
        <f>IF(I221="Yes", J221-H221, "")</f>
        <v/>
      </c>
      <c r="N221" s="17">
        <f>IF(I221="Yes", J221-B221, "")</f>
        <v/>
      </c>
    </row>
    <row r="222">
      <c r="A222" s="25" t="inlineStr">
        <is>
          <t>LD-1410</t>
        </is>
      </c>
      <c r="B222" s="21" t="n">
        <v>46143</v>
      </c>
      <c r="C222" s="31" t="inlineStr">
        <is>
          <t>Helix Group</t>
        </is>
      </c>
      <c r="D222" s="31" t="inlineStr">
        <is>
          <t>info@helixgroup.com</t>
        </is>
      </c>
      <c r="E222" s="25" t="inlineStr">
        <is>
          <t>Google</t>
        </is>
      </c>
      <c r="F222" s="25" t="inlineStr">
        <is>
          <t>Enterprise</t>
        </is>
      </c>
      <c r="G222" s="25" t="inlineStr">
        <is>
          <t>No</t>
        </is>
      </c>
      <c r="H222" s="21" t="n"/>
      <c r="I222" s="25" t="inlineStr">
        <is>
          <t>No</t>
        </is>
      </c>
      <c r="J222" s="21" t="n"/>
      <c r="K222" s="24" t="n">
        <v/>
      </c>
      <c r="L222" s="22">
        <f>IF(G222="Yes", H222-B222, "")</f>
        <v/>
      </c>
      <c r="M222" s="22">
        <f>IF(I222="Yes", J222-H222, "")</f>
        <v/>
      </c>
      <c r="N222" s="22">
        <f>IF(I222="Yes", J222-B222, "")</f>
        <v/>
      </c>
    </row>
    <row r="223">
      <c r="A223" s="20" t="inlineStr">
        <is>
          <t>LD-1455</t>
        </is>
      </c>
      <c r="B223" s="16" t="n">
        <v>46106</v>
      </c>
      <c r="C223" s="32" t="inlineStr">
        <is>
          <t>Omega Inc</t>
        </is>
      </c>
      <c r="D223" s="32" t="inlineStr">
        <is>
          <t>info@omegainc.com</t>
        </is>
      </c>
      <c r="E223" s="20" t="inlineStr">
        <is>
          <t>LinkedIn</t>
        </is>
      </c>
      <c r="F223" s="20" t="inlineStr">
        <is>
          <t>Mid-Market</t>
        </is>
      </c>
      <c r="G223" s="20" t="inlineStr">
        <is>
          <t>No</t>
        </is>
      </c>
      <c r="H223" s="16" t="n"/>
      <c r="I223" s="20" t="inlineStr">
        <is>
          <t>No</t>
        </is>
      </c>
      <c r="J223" s="16" t="n"/>
      <c r="K223" s="19" t="n">
        <v/>
      </c>
      <c r="L223" s="17">
        <f>IF(G223="Yes", H223-B223, "")</f>
        <v/>
      </c>
      <c r="M223" s="17">
        <f>IF(I223="Yes", J223-H223, "")</f>
        <v/>
      </c>
      <c r="N223" s="17">
        <f>IF(I223="Yes", J223-B223, "")</f>
        <v/>
      </c>
    </row>
    <row r="224">
      <c r="A224" s="25" t="inlineStr">
        <is>
          <t>LD-1212</t>
        </is>
      </c>
      <c r="B224" s="21" t="n">
        <v>46153</v>
      </c>
      <c r="C224" s="31" t="inlineStr">
        <is>
          <t>Flux LLC</t>
        </is>
      </c>
      <c r="D224" s="31" t="inlineStr">
        <is>
          <t>info@fluxllc.com</t>
        </is>
      </c>
      <c r="E224" s="25" t="inlineStr">
        <is>
          <t>Referral</t>
        </is>
      </c>
      <c r="F224" s="25" t="inlineStr">
        <is>
          <t>Mid-Market</t>
        </is>
      </c>
      <c r="G224" s="25" t="inlineStr">
        <is>
          <t>Yes</t>
        </is>
      </c>
      <c r="H224" s="21" t="n">
        <v>46160</v>
      </c>
      <c r="I224" s="25" t="inlineStr">
        <is>
          <t>Yes</t>
        </is>
      </c>
      <c r="J224" s="21" t="n">
        <v>46180</v>
      </c>
      <c r="K224" s="24" t="n">
        <v>746</v>
      </c>
      <c r="L224" s="22">
        <f>IF(G224="Yes", H224-B224, "")</f>
        <v/>
      </c>
      <c r="M224" s="22">
        <f>IF(I224="Yes", J224-H224, "")</f>
        <v/>
      </c>
      <c r="N224" s="22">
        <f>IF(I224="Yes", J224-B224, "")</f>
        <v/>
      </c>
    </row>
    <row r="225">
      <c r="A225" s="20" t="inlineStr">
        <is>
          <t>LD-1161</t>
        </is>
      </c>
      <c r="B225" s="16" t="n">
        <v>46117</v>
      </c>
      <c r="C225" s="32" t="inlineStr">
        <is>
          <t>Vortex Inc</t>
        </is>
      </c>
      <c r="D225" s="32" t="inlineStr">
        <is>
          <t>info@vortexinc.com</t>
        </is>
      </c>
      <c r="E225" s="20" t="inlineStr">
        <is>
          <t>Referral</t>
        </is>
      </c>
      <c r="F225" s="20" t="inlineStr">
        <is>
          <t>Enterprise</t>
        </is>
      </c>
      <c r="G225" s="20" t="inlineStr">
        <is>
          <t>Yes</t>
        </is>
      </c>
      <c r="H225" s="16" t="n">
        <v>46122</v>
      </c>
      <c r="I225" s="20" t="inlineStr">
        <is>
          <t>No</t>
        </is>
      </c>
      <c r="J225" s="16" t="n"/>
      <c r="K225" s="19" t="n">
        <v/>
      </c>
      <c r="L225" s="17">
        <f>IF(G225="Yes", H225-B225, "")</f>
        <v/>
      </c>
      <c r="M225" s="17">
        <f>IF(I225="Yes", J225-H225, "")</f>
        <v/>
      </c>
      <c r="N225" s="17">
        <f>IF(I225="Yes", J225-B225, "")</f>
        <v/>
      </c>
    </row>
    <row r="226">
      <c r="A226" s="25" t="inlineStr">
        <is>
          <t>LD-1023</t>
        </is>
      </c>
      <c r="B226" s="21" t="n">
        <v>46151</v>
      </c>
      <c r="C226" s="31" t="inlineStr">
        <is>
          <t>Nova Solutions</t>
        </is>
      </c>
      <c r="D226" s="31" t="inlineStr">
        <is>
          <t>info@novasolutions.com</t>
        </is>
      </c>
      <c r="E226" s="25" t="inlineStr">
        <is>
          <t>LinkedIn</t>
        </is>
      </c>
      <c r="F226" s="25" t="inlineStr">
        <is>
          <t>Mid-Market</t>
        </is>
      </c>
      <c r="G226" s="25" t="inlineStr">
        <is>
          <t>No</t>
        </is>
      </c>
      <c r="H226" s="21" t="n"/>
      <c r="I226" s="25" t="inlineStr">
        <is>
          <t>No</t>
        </is>
      </c>
      <c r="J226" s="21" t="n"/>
      <c r="K226" s="24" t="n">
        <v/>
      </c>
      <c r="L226" s="22">
        <f>IF(G226="Yes", H226-B226, "")</f>
        <v/>
      </c>
      <c r="M226" s="22">
        <f>IF(I226="Yes", J226-H226, "")</f>
        <v/>
      </c>
      <c r="N226" s="22">
        <f>IF(I226="Yes", J226-B226, "")</f>
        <v/>
      </c>
    </row>
    <row r="227">
      <c r="A227" s="20" t="inlineStr">
        <is>
          <t>LD-1462</t>
        </is>
      </c>
      <c r="B227" s="16" t="n">
        <v>46114</v>
      </c>
      <c r="C227" s="32" t="inlineStr">
        <is>
          <t>Alpha Global</t>
        </is>
      </c>
      <c r="D227" s="32" t="inlineStr">
        <is>
          <t>info@alphaglobal.com</t>
        </is>
      </c>
      <c r="E227" s="20" t="inlineStr">
        <is>
          <t>LinkedIn</t>
        </is>
      </c>
      <c r="F227" s="20" t="inlineStr">
        <is>
          <t>Enterprise</t>
        </is>
      </c>
      <c r="G227" s="20" t="inlineStr">
        <is>
          <t>Yes</t>
        </is>
      </c>
      <c r="H227" s="16" t="n">
        <v>46120</v>
      </c>
      <c r="I227" s="20" t="inlineStr">
        <is>
          <t>No</t>
        </is>
      </c>
      <c r="J227" s="16" t="n"/>
      <c r="K227" s="19" t="n">
        <v/>
      </c>
      <c r="L227" s="17">
        <f>IF(G227="Yes", H227-B227, "")</f>
        <v/>
      </c>
      <c r="M227" s="17">
        <f>IF(I227="Yes", J227-H227, "")</f>
        <v/>
      </c>
      <c r="N227" s="17">
        <f>IF(I227="Yes", J227-B227, "")</f>
        <v/>
      </c>
    </row>
    <row r="228">
      <c r="A228" s="25" t="inlineStr">
        <is>
          <t>LD-1128</t>
        </is>
      </c>
      <c r="B228" s="21" t="n">
        <v>46161</v>
      </c>
      <c r="C228" s="31" t="inlineStr">
        <is>
          <t>Flux Corp</t>
        </is>
      </c>
      <c r="D228" s="31" t="inlineStr">
        <is>
          <t>info@fluxcorp.com</t>
        </is>
      </c>
      <c r="E228" s="25" t="inlineStr">
        <is>
          <t>Referral</t>
        </is>
      </c>
      <c r="F228" s="25" t="inlineStr">
        <is>
          <t>Enterprise</t>
        </is>
      </c>
      <c r="G228" s="25" t="inlineStr">
        <is>
          <t>Yes</t>
        </is>
      </c>
      <c r="H228" s="21" t="n">
        <v>46163</v>
      </c>
      <c r="I228" s="25" t="inlineStr">
        <is>
          <t>No</t>
        </is>
      </c>
      <c r="J228" s="21" t="n"/>
      <c r="K228" s="24" t="n">
        <v/>
      </c>
      <c r="L228" s="22">
        <f>IF(G228="Yes", H228-B228, "")</f>
        <v/>
      </c>
      <c r="M228" s="22">
        <f>IF(I228="Yes", J228-H228, "")</f>
        <v/>
      </c>
      <c r="N228" s="22">
        <f>IF(I228="Yes", J228-B228, "")</f>
        <v/>
      </c>
    </row>
    <row r="229">
      <c r="A229" s="20" t="inlineStr">
        <is>
          <t>LD-1348</t>
        </is>
      </c>
      <c r="B229" s="16" t="n">
        <v>46163</v>
      </c>
      <c r="C229" s="32" t="inlineStr">
        <is>
          <t>Pulse Inc</t>
        </is>
      </c>
      <c r="D229" s="32" t="inlineStr">
        <is>
          <t>info@pulseinc.com</t>
        </is>
      </c>
      <c r="E229" s="20" t="inlineStr">
        <is>
          <t>Google</t>
        </is>
      </c>
      <c r="F229" s="20" t="inlineStr">
        <is>
          <t>Enterprise</t>
        </is>
      </c>
      <c r="G229" s="20" t="inlineStr">
        <is>
          <t>No</t>
        </is>
      </c>
      <c r="H229" s="16" t="n"/>
      <c r="I229" s="20" t="inlineStr">
        <is>
          <t>No</t>
        </is>
      </c>
      <c r="J229" s="16" t="n"/>
      <c r="K229" s="19" t="n">
        <v/>
      </c>
      <c r="L229" s="17">
        <f>IF(G229="Yes", H229-B229, "")</f>
        <v/>
      </c>
      <c r="M229" s="17">
        <f>IF(I229="Yes", J229-H229, "")</f>
        <v/>
      </c>
      <c r="N229" s="17">
        <f>IF(I229="Yes", J229-B229, "")</f>
        <v/>
      </c>
    </row>
    <row r="230">
      <c r="A230" s="25" t="inlineStr">
        <is>
          <t>LD-1419</t>
        </is>
      </c>
      <c r="B230" s="21" t="n">
        <v>46152</v>
      </c>
      <c r="C230" s="31" t="inlineStr">
        <is>
          <t>Apex Group</t>
        </is>
      </c>
      <c r="D230" s="31" t="inlineStr">
        <is>
          <t>info@apexgroup.com</t>
        </is>
      </c>
      <c r="E230" s="25" t="inlineStr">
        <is>
          <t>Organic / Direct</t>
        </is>
      </c>
      <c r="F230" s="25" t="inlineStr">
        <is>
          <t>SMB</t>
        </is>
      </c>
      <c r="G230" s="25" t="inlineStr">
        <is>
          <t>No</t>
        </is>
      </c>
      <c r="H230" s="21" t="n"/>
      <c r="I230" s="25" t="inlineStr">
        <is>
          <t>No</t>
        </is>
      </c>
      <c r="J230" s="21" t="n"/>
      <c r="K230" s="24" t="n">
        <v/>
      </c>
      <c r="L230" s="22">
        <f>IF(G230="Yes", H230-B230, "")</f>
        <v/>
      </c>
      <c r="M230" s="22">
        <f>IF(I230="Yes", J230-H230, "")</f>
        <v/>
      </c>
      <c r="N230" s="22">
        <f>IF(I230="Yes", J230-B230, "")</f>
        <v/>
      </c>
    </row>
    <row r="231">
      <c r="A231" s="20" t="inlineStr">
        <is>
          <t>LD-1153</t>
        </is>
      </c>
      <c r="B231" s="16" t="n">
        <v>46099</v>
      </c>
      <c r="C231" s="32" t="inlineStr">
        <is>
          <t>Alpha Inc</t>
        </is>
      </c>
      <c r="D231" s="32" t="inlineStr">
        <is>
          <t>info@alphainc.com</t>
        </is>
      </c>
      <c r="E231" s="20" t="inlineStr">
        <is>
          <t>LinkedIn</t>
        </is>
      </c>
      <c r="F231" s="20" t="inlineStr">
        <is>
          <t>SMB</t>
        </is>
      </c>
      <c r="G231" s="20" t="inlineStr">
        <is>
          <t>Yes</t>
        </is>
      </c>
      <c r="H231" s="16" t="n">
        <v>46104</v>
      </c>
      <c r="I231" s="20" t="inlineStr">
        <is>
          <t>No</t>
        </is>
      </c>
      <c r="J231" s="16" t="n"/>
      <c r="K231" s="19" t="n">
        <v/>
      </c>
      <c r="L231" s="17">
        <f>IF(G231="Yes", H231-B231, "")</f>
        <v/>
      </c>
      <c r="M231" s="17">
        <f>IF(I231="Yes", J231-H231, "")</f>
        <v/>
      </c>
      <c r="N231" s="17">
        <f>IF(I231="Yes", J231-B231, "")</f>
        <v/>
      </c>
    </row>
    <row r="232">
      <c r="A232" s="25" t="inlineStr">
        <is>
          <t>LD-1308</t>
        </is>
      </c>
      <c r="B232" s="21" t="n">
        <v>46155</v>
      </c>
      <c r="C232" s="31" t="inlineStr">
        <is>
          <t>Shift Inc</t>
        </is>
      </c>
      <c r="D232" s="31" t="inlineStr">
        <is>
          <t>info@shiftinc.com</t>
        </is>
      </c>
      <c r="E232" s="25" t="inlineStr">
        <is>
          <t>Organic / Direct</t>
        </is>
      </c>
      <c r="F232" s="25" t="inlineStr">
        <is>
          <t>Enterprise</t>
        </is>
      </c>
      <c r="G232" s="25" t="inlineStr">
        <is>
          <t>Yes</t>
        </is>
      </c>
      <c r="H232" s="21" t="n">
        <v>46165</v>
      </c>
      <c r="I232" s="25" t="inlineStr">
        <is>
          <t>Yes</t>
        </is>
      </c>
      <c r="J232" s="21" t="n">
        <v>46185</v>
      </c>
      <c r="K232" s="24" t="n">
        <v>4152</v>
      </c>
      <c r="L232" s="22">
        <f>IF(G232="Yes", H232-B232, "")</f>
        <v/>
      </c>
      <c r="M232" s="22">
        <f>IF(I232="Yes", J232-H232, "")</f>
        <v/>
      </c>
      <c r="N232" s="22">
        <f>IF(I232="Yes", J232-B232, "")</f>
        <v/>
      </c>
    </row>
    <row r="233"/>
    <row r="234">
      <c r="A234" s="25" t="inlineStr">
        <is>
          <t>LD-1157</t>
        </is>
      </c>
      <c r="B234" s="21" t="n">
        <v>46139</v>
      </c>
      <c r="C234" s="31" t="inlineStr">
        <is>
          <t>Helix Group</t>
        </is>
      </c>
      <c r="D234" s="31" t="inlineStr">
        <is>
          <t>info@helixgroup.com</t>
        </is>
      </c>
      <c r="E234" s="25" t="inlineStr">
        <is>
          <t>Google</t>
        </is>
      </c>
      <c r="F234" s="25" t="inlineStr">
        <is>
          <t>Enterprise</t>
        </is>
      </c>
      <c r="G234" s="25" t="inlineStr">
        <is>
          <t>No</t>
        </is>
      </c>
      <c r="H234" s="21" t="n"/>
      <c r="I234" s="25" t="inlineStr">
        <is>
          <t>No</t>
        </is>
      </c>
      <c r="J234" s="21" t="n"/>
      <c r="K234" s="24" t="n">
        <v/>
      </c>
      <c r="L234" s="22">
        <f>IF(G234="Yes", H234-B234, "")</f>
        <v/>
      </c>
      <c r="M234" s="22">
        <f>IF(I234="Yes", J234-H234, "")</f>
        <v/>
      </c>
      <c r="N234" s="22">
        <f>IF(I234="Yes", J234-B234, "")</f>
        <v/>
      </c>
    </row>
    <row r="235">
      <c r="A235" s="20" t="inlineStr">
        <is>
          <t>LD-1484</t>
        </is>
      </c>
      <c r="B235" s="16" t="n">
        <v>46101</v>
      </c>
      <c r="C235" s="32" t="inlineStr">
        <is>
          <t>Nova Corp</t>
        </is>
      </c>
      <c r="D235" s="32" t="inlineStr">
        <is>
          <t>info@novacorp.com</t>
        </is>
      </c>
      <c r="E235" s="20" t="inlineStr">
        <is>
          <t>Cold Outreach</t>
        </is>
      </c>
      <c r="F235" s="20" t="inlineStr">
        <is>
          <t>SMB</t>
        </is>
      </c>
      <c r="G235" s="20" t="inlineStr">
        <is>
          <t>No</t>
        </is>
      </c>
      <c r="H235" s="16" t="n"/>
      <c r="I235" s="20" t="inlineStr">
        <is>
          <t>No</t>
        </is>
      </c>
      <c r="J235" s="16" t="n"/>
      <c r="K235" s="19" t="n">
        <v/>
      </c>
      <c r="L235" s="17">
        <f>IF(G235="Yes", H235-B235, "")</f>
        <v/>
      </c>
      <c r="M235" s="17">
        <f>IF(I235="Yes", J235-H235, "")</f>
        <v/>
      </c>
      <c r="N235" s="17">
        <f>IF(I235="Yes", J235-B235, "")</f>
        <v/>
      </c>
    </row>
    <row r="236">
      <c r="A236" s="25" t="inlineStr">
        <is>
          <t>LD-1276</t>
        </is>
      </c>
      <c r="B236" s="21" t="n">
        <v>46091</v>
      </c>
      <c r="C236" s="31" t="inlineStr">
        <is>
          <t>Nova Inc</t>
        </is>
      </c>
      <c r="D236" s="31" t="inlineStr">
        <is>
          <t>info@novainc.com</t>
        </is>
      </c>
      <c r="E236" s="25" t="inlineStr">
        <is>
          <t>Google</t>
        </is>
      </c>
      <c r="F236" s="25" t="inlineStr">
        <is>
          <t>Mid-Market</t>
        </is>
      </c>
      <c r="G236" s="25" t="inlineStr">
        <is>
          <t>Yes</t>
        </is>
      </c>
      <c r="H236" s="21" t="n">
        <v>46100</v>
      </c>
      <c r="I236" s="25" t="inlineStr">
        <is>
          <t>No</t>
        </is>
      </c>
      <c r="J236" s="21" t="n"/>
      <c r="K236" s="24" t="n">
        <v/>
      </c>
      <c r="L236" s="22">
        <f>IF(G236="Yes", H236-B236, "")</f>
        <v/>
      </c>
      <c r="M236" s="22">
        <f>IF(I236="Yes", J236-H236, "")</f>
        <v/>
      </c>
      <c r="N236" s="22">
        <f>IF(I236="Yes", J236-B236, "")</f>
        <v/>
      </c>
    </row>
    <row r="237">
      <c r="A237" s="20" t="inlineStr">
        <is>
          <t>LD-1106</t>
        </is>
      </c>
      <c r="B237" s="16" t="n">
        <v>46129</v>
      </c>
      <c r="C237" s="32" t="inlineStr">
        <is>
          <t>Flux Inc</t>
        </is>
      </c>
      <c r="D237" s="32" t="inlineStr">
        <is>
          <t>info@fluxinc.com</t>
        </is>
      </c>
      <c r="E237" s="20" t="inlineStr">
        <is>
          <t>Google</t>
        </is>
      </c>
      <c r="F237" s="20" t="inlineStr">
        <is>
          <t>Mid-Market</t>
        </is>
      </c>
      <c r="G237" s="20" t="inlineStr">
        <is>
          <t>Yes</t>
        </is>
      </c>
      <c r="H237" s="16" t="n">
        <v>46133</v>
      </c>
      <c r="I237" s="20" t="inlineStr">
        <is>
          <t>No</t>
        </is>
      </c>
      <c r="J237" s="16" t="n"/>
      <c r="K237" s="19" t="n">
        <v/>
      </c>
      <c r="L237" s="17">
        <f>IF(G237="Yes", H237-B237, "")</f>
        <v/>
      </c>
      <c r="M237" s="17">
        <f>IF(I237="Yes", J237-H237, "")</f>
        <v/>
      </c>
      <c r="N237" s="17">
        <f>IF(I237="Yes", J237-B237, "")</f>
        <v/>
      </c>
    </row>
    <row r="238">
      <c r="A238" s="25" t="inlineStr">
        <is>
          <t>LD-1383</t>
        </is>
      </c>
      <c r="B238" s="21" t="n">
        <v>46124</v>
      </c>
      <c r="C238" s="31" t="inlineStr">
        <is>
          <t>Quantum Global</t>
        </is>
      </c>
      <c r="D238" s="31" t="inlineStr">
        <is>
          <t>info@quantumglobal.com</t>
        </is>
      </c>
      <c r="E238" s="25" t="inlineStr">
        <is>
          <t>Organic / Direct</t>
        </is>
      </c>
      <c r="F238" s="25" t="inlineStr">
        <is>
          <t>Enterprise</t>
        </is>
      </c>
      <c r="G238" s="25" t="inlineStr">
        <is>
          <t>Yes</t>
        </is>
      </c>
      <c r="H238" s="21" t="n">
        <v>46130</v>
      </c>
      <c r="I238" s="25" t="inlineStr">
        <is>
          <t>No</t>
        </is>
      </c>
      <c r="J238" s="21" t="n"/>
      <c r="K238" s="24" t="n">
        <v/>
      </c>
      <c r="L238" s="22">
        <f>IF(G238="Yes", H238-B238, "")</f>
        <v/>
      </c>
      <c r="M238" s="22">
        <f>IF(I238="Yes", J238-H238, "")</f>
        <v/>
      </c>
      <c r="N238" s="22">
        <f>IF(I238="Yes", J238-B238, "")</f>
        <v/>
      </c>
    </row>
    <row r="239">
      <c r="A239" s="20" t="inlineStr">
        <is>
          <t>LD-1134</t>
        </is>
      </c>
      <c r="B239" s="16" t="n">
        <v>46155</v>
      </c>
      <c r="C239" s="32" t="inlineStr">
        <is>
          <t>Core Partners</t>
        </is>
      </c>
      <c r="D239" s="32" t="inlineStr">
        <is>
          <t>info@corepartners.com</t>
        </is>
      </c>
      <c r="E239" s="20" t="inlineStr">
        <is>
          <t>Referral</t>
        </is>
      </c>
      <c r="F239" s="20" t="inlineStr">
        <is>
          <t>SMB</t>
        </is>
      </c>
      <c r="G239" s="20" t="inlineStr">
        <is>
          <t>No</t>
        </is>
      </c>
      <c r="H239" s="16" t="n"/>
      <c r="I239" s="20" t="inlineStr">
        <is>
          <t>No</t>
        </is>
      </c>
      <c r="J239" s="16" t="n"/>
      <c r="K239" s="19" t="n">
        <v/>
      </c>
      <c r="L239" s="17">
        <f>IF(G239="Yes", H239-B239, "")</f>
        <v/>
      </c>
      <c r="M239" s="17">
        <f>IF(I239="Yes", J239-H239, "")</f>
        <v/>
      </c>
      <c r="N239" s="17">
        <f>IF(I239="Yes", J239-B239, "")</f>
        <v/>
      </c>
    </row>
    <row r="240">
      <c r="A240" s="25" t="inlineStr">
        <is>
          <t>LD-1515</t>
        </is>
      </c>
      <c r="B240" s="21" t="n">
        <v>46145</v>
      </c>
      <c r="C240" s="31" t="inlineStr">
        <is>
          <t>Summit Solutions</t>
        </is>
      </c>
      <c r="D240" s="31" t="inlineStr">
        <is>
          <t>info@summitsolutions.com</t>
        </is>
      </c>
      <c r="E240" s="25" t="inlineStr">
        <is>
          <t>Google</t>
        </is>
      </c>
      <c r="F240" s="25" t="inlineStr">
        <is>
          <t>SMB</t>
        </is>
      </c>
      <c r="G240" s="25" t="inlineStr">
        <is>
          <t>Yes</t>
        </is>
      </c>
      <c r="H240" s="21" t="n">
        <v>46147</v>
      </c>
      <c r="I240" s="25" t="inlineStr">
        <is>
          <t>No</t>
        </is>
      </c>
      <c r="J240" s="21" t="n"/>
      <c r="K240" s="24" t="n">
        <v/>
      </c>
      <c r="L240" s="22">
        <f>IF(G240="Yes", H240-B240, "")</f>
        <v/>
      </c>
      <c r="M240" s="22">
        <f>IF(I240="Yes", J240-H240, "")</f>
        <v/>
      </c>
      <c r="N240" s="22">
        <f>IF(I240="Yes", J240-B240, "")</f>
        <v/>
      </c>
    </row>
    <row r="241">
      <c r="A241" s="20" t="inlineStr">
        <is>
          <t>LD-1164</t>
        </is>
      </c>
      <c r="B241" s="16" t="n">
        <v>46163</v>
      </c>
      <c r="C241" s="32" t="inlineStr">
        <is>
          <t>Flux Global</t>
        </is>
      </c>
      <c r="D241" s="32" t="inlineStr">
        <is>
          <t>info@fluxglobal.com</t>
        </is>
      </c>
      <c r="E241" s="20" t="inlineStr">
        <is>
          <t>Organic / Direct</t>
        </is>
      </c>
      <c r="F241" s="20" t="inlineStr">
        <is>
          <t>SMB</t>
        </is>
      </c>
      <c r="G241" s="20" t="inlineStr">
        <is>
          <t>Yes</t>
        </is>
      </c>
      <c r="H241" s="16" t="n">
        <v>46171</v>
      </c>
      <c r="I241" s="20" t="inlineStr">
        <is>
          <t>Yes</t>
        </is>
      </c>
      <c r="J241" s="16" t="n">
        <v>46187</v>
      </c>
      <c r="K241" s="19" t="n">
        <v>219</v>
      </c>
      <c r="L241" s="17">
        <f>IF(G241="Yes", H241-B241, "")</f>
        <v/>
      </c>
      <c r="M241" s="17">
        <f>IF(I241="Yes", J241-H241, "")</f>
        <v/>
      </c>
      <c r="N241" s="17">
        <f>IF(I241="Yes", J241-B241, "")</f>
        <v/>
      </c>
    </row>
    <row r="242">
      <c r="A242" s="25" t="inlineStr">
        <is>
          <t>LD-1312</t>
        </is>
      </c>
      <c r="B242" s="21" t="n">
        <v>46155</v>
      </c>
      <c r="C242" s="31" t="inlineStr">
        <is>
          <t>Synergy Group</t>
        </is>
      </c>
      <c r="D242" s="31" t="inlineStr">
        <is>
          <t>info@synergygroup.com</t>
        </is>
      </c>
      <c r="E242" s="25" t="inlineStr">
        <is>
          <t>Google</t>
        </is>
      </c>
      <c r="F242" s="25" t="inlineStr">
        <is>
          <t>Mid-Market</t>
        </is>
      </c>
      <c r="G242" s="25" t="inlineStr">
        <is>
          <t>Yes</t>
        </is>
      </c>
      <c r="H242" s="21" t="n">
        <v>46160</v>
      </c>
      <c r="I242" s="25" t="inlineStr">
        <is>
          <t>No</t>
        </is>
      </c>
      <c r="J242" s="21" t="n"/>
      <c r="K242" s="24" t="n">
        <v/>
      </c>
      <c r="L242" s="22">
        <f>IF(G242="Yes", H242-B242, "")</f>
        <v/>
      </c>
      <c r="M242" s="22">
        <f>IF(I242="Yes", J242-H242, "")</f>
        <v/>
      </c>
      <c r="N242" s="22">
        <f>IF(I242="Yes", J242-B242, "")</f>
        <v/>
      </c>
    </row>
    <row r="243">
      <c r="A243" s="20" t="inlineStr">
        <is>
          <t>LD-1441</t>
        </is>
      </c>
      <c r="B243" s="16" t="n">
        <v>46163</v>
      </c>
      <c r="C243" s="32" t="inlineStr">
        <is>
          <t>Core LLC</t>
        </is>
      </c>
      <c r="D243" s="32" t="inlineStr">
        <is>
          <t>info@corellc.com</t>
        </is>
      </c>
      <c r="E243" s="20" t="inlineStr">
        <is>
          <t>Google</t>
        </is>
      </c>
      <c r="F243" s="20" t="inlineStr">
        <is>
          <t>SMB</t>
        </is>
      </c>
      <c r="G243" s="20" t="inlineStr">
        <is>
          <t>Yes</t>
        </is>
      </c>
      <c r="H243" s="16" t="n">
        <v>46167</v>
      </c>
      <c r="I243" s="20" t="inlineStr">
        <is>
          <t>No</t>
        </is>
      </c>
      <c r="J243" s="16" t="n"/>
      <c r="K243" s="19" t="n">
        <v/>
      </c>
      <c r="L243" s="17">
        <f>IF(G243="Yes", H243-B243, "")</f>
        <v/>
      </c>
      <c r="M243" s="17">
        <f>IF(I243="Yes", J243-H243, "")</f>
        <v/>
      </c>
      <c r="N243" s="17">
        <f>IF(I243="Yes", J243-B243, "")</f>
        <v/>
      </c>
    </row>
    <row r="244">
      <c r="A244" s="25" t="inlineStr">
        <is>
          <t>LD-1333</t>
        </is>
      </c>
      <c r="B244" s="21" t="n">
        <v>46110</v>
      </c>
      <c r="C244" s="31" t="inlineStr">
        <is>
          <t>Stellar Technologies</t>
        </is>
      </c>
      <c r="D244" s="31" t="inlineStr">
        <is>
          <t>info@stellartechnologies.com</t>
        </is>
      </c>
      <c r="E244" s="25" t="inlineStr">
        <is>
          <t>LinkedIn</t>
        </is>
      </c>
      <c r="F244" s="25" t="inlineStr">
        <is>
          <t>Mid-Market</t>
        </is>
      </c>
      <c r="G244" s="25" t="inlineStr">
        <is>
          <t>Yes</t>
        </is>
      </c>
      <c r="H244" s="21" t="n">
        <v>46118</v>
      </c>
      <c r="I244" s="25" t="inlineStr">
        <is>
          <t>No</t>
        </is>
      </c>
      <c r="J244" s="21" t="n"/>
      <c r="K244" s="24" t="n">
        <v/>
      </c>
      <c r="L244" s="22">
        <f>IF(G244="Yes", H244-B244, "")</f>
        <v/>
      </c>
      <c r="M244" s="22">
        <f>IF(I244="Yes", J244-H244, "")</f>
        <v/>
      </c>
      <c r="N244" s="22">
        <f>IF(I244="Yes", J244-B244, "")</f>
        <v/>
      </c>
    </row>
    <row r="245">
      <c r="A245" s="20" t="inlineStr">
        <is>
          <t>LD-1249</t>
        </is>
      </c>
      <c r="B245" s="16" t="n">
        <v>46162</v>
      </c>
      <c r="C245" s="32" t="inlineStr">
        <is>
          <t>Helix LLC</t>
        </is>
      </c>
      <c r="D245" s="32" t="inlineStr">
        <is>
          <t>info@helixllc.com</t>
        </is>
      </c>
      <c r="E245" s="20" t="inlineStr">
        <is>
          <t>LinkedIn</t>
        </is>
      </c>
      <c r="F245" s="20" t="inlineStr">
        <is>
          <t>Mid-Market</t>
        </is>
      </c>
      <c r="G245" s="20" t="inlineStr">
        <is>
          <t>Yes</t>
        </is>
      </c>
      <c r="H245" s="16" t="n">
        <v>46169</v>
      </c>
      <c r="I245" s="20" t="inlineStr">
        <is>
          <t>Yes</t>
        </is>
      </c>
      <c r="J245" s="16" t="n">
        <v>46180</v>
      </c>
      <c r="K245" s="19" t="n">
        <v>710</v>
      </c>
      <c r="L245" s="17">
        <f>IF(G245="Yes", H245-B245, "")</f>
        <v/>
      </c>
      <c r="M245" s="17">
        <f>IF(I245="Yes", J245-H245, "")</f>
        <v/>
      </c>
      <c r="N245" s="17">
        <f>IF(I245="Yes", J245-B245, "")</f>
        <v/>
      </c>
    </row>
    <row r="246">
      <c r="A246" s="25" t="inlineStr">
        <is>
          <t>LD-1122</t>
        </is>
      </c>
      <c r="B246" s="21" t="n">
        <v>46109</v>
      </c>
      <c r="C246" s="31" t="inlineStr">
        <is>
          <t>Alpha Co</t>
        </is>
      </c>
      <c r="D246" s="31" t="inlineStr">
        <is>
          <t>info@alphaco.com</t>
        </is>
      </c>
      <c r="E246" s="25" t="inlineStr">
        <is>
          <t>LinkedIn</t>
        </is>
      </c>
      <c r="F246" s="25" t="inlineStr">
        <is>
          <t>Enterprise</t>
        </is>
      </c>
      <c r="G246" s="25" t="inlineStr">
        <is>
          <t>Yes</t>
        </is>
      </c>
      <c r="H246" s="21" t="n">
        <v>46110</v>
      </c>
      <c r="I246" s="25" t="inlineStr">
        <is>
          <t>Yes</t>
        </is>
      </c>
      <c r="J246" s="21" t="n">
        <v>46120</v>
      </c>
      <c r="K246" s="24" t="n">
        <v>3668</v>
      </c>
      <c r="L246" s="22">
        <f>IF(G246="Yes", H246-B246, "")</f>
        <v/>
      </c>
      <c r="M246" s="22">
        <f>IF(I246="Yes", J246-H246, "")</f>
        <v/>
      </c>
      <c r="N246" s="22">
        <f>IF(I246="Yes", J246-B246, "")</f>
        <v/>
      </c>
    </row>
    <row r="247">
      <c r="A247" s="20" t="inlineStr">
        <is>
          <t>LD-1198</t>
        </is>
      </c>
      <c r="B247" s="16" t="n">
        <v>46120</v>
      </c>
      <c r="C247" s="32" t="inlineStr">
        <is>
          <t>Shift Inc</t>
        </is>
      </c>
      <c r="D247" s="32" t="inlineStr">
        <is>
          <t>info@shiftinc.com</t>
        </is>
      </c>
      <c r="E247" s="20" t="inlineStr">
        <is>
          <t>LinkedIn</t>
        </is>
      </c>
      <c r="F247" s="20" t="inlineStr">
        <is>
          <t>SMB</t>
        </is>
      </c>
      <c r="G247" s="20" t="inlineStr">
        <is>
          <t>No</t>
        </is>
      </c>
      <c r="H247" s="16" t="n"/>
      <c r="I247" s="20" t="inlineStr">
        <is>
          <t>No</t>
        </is>
      </c>
      <c r="J247" s="16" t="n"/>
      <c r="K247" s="19" t="n">
        <v/>
      </c>
      <c r="L247" s="17">
        <f>IF(G247="Yes", H247-B247, "")</f>
        <v/>
      </c>
      <c r="M247" s="17">
        <f>IF(I247="Yes", J247-H247, "")</f>
        <v/>
      </c>
      <c r="N247" s="17">
        <f>IF(I247="Yes", J247-B247, "")</f>
        <v/>
      </c>
    </row>
    <row r="248">
      <c r="A248" s="25" t="inlineStr">
        <is>
          <t>LD-1203</t>
        </is>
      </c>
      <c r="B248" s="21" t="n">
        <v>46101</v>
      </c>
      <c r="C248" s="31" t="inlineStr">
        <is>
          <t>Cloud Partners</t>
        </is>
      </c>
      <c r="D248" s="31" t="inlineStr">
        <is>
          <t>info@cloudpartners.com</t>
        </is>
      </c>
      <c r="E248" s="25" t="inlineStr">
        <is>
          <t>Cold Outreach</t>
        </is>
      </c>
      <c r="F248" s="25" t="inlineStr">
        <is>
          <t>Mid-Market</t>
        </is>
      </c>
      <c r="G248" s="25" t="inlineStr">
        <is>
          <t>Yes</t>
        </is>
      </c>
      <c r="H248" s="21" t="n">
        <v>46110</v>
      </c>
      <c r="I248" s="25" t="inlineStr">
        <is>
          <t>No</t>
        </is>
      </c>
      <c r="J248" s="21" t="n"/>
      <c r="K248" s="24" t="n">
        <v/>
      </c>
      <c r="L248" s="22">
        <f>IF(G248="Yes", H248-B248, "")</f>
        <v/>
      </c>
      <c r="M248" s="22">
        <f>IF(I248="Yes", J248-H248, "")</f>
        <v/>
      </c>
      <c r="N248" s="22">
        <f>IF(I248="Yes", J248-B248, "")</f>
        <v/>
      </c>
    </row>
    <row r="249">
      <c r="A249" s="20" t="inlineStr">
        <is>
          <t>LD-1387</t>
        </is>
      </c>
      <c r="B249" s="16" t="n">
        <v>46095</v>
      </c>
      <c r="C249" s="32" t="inlineStr">
        <is>
          <t>Helix Corp</t>
        </is>
      </c>
      <c r="D249" s="32" t="inlineStr">
        <is>
          <t>info@helixcorp.com</t>
        </is>
      </c>
      <c r="E249" s="20" t="inlineStr">
        <is>
          <t>Referral</t>
        </is>
      </c>
      <c r="F249" s="20" t="inlineStr">
        <is>
          <t>Enterprise</t>
        </is>
      </c>
      <c r="G249" s="20" t="inlineStr">
        <is>
          <t>Yes</t>
        </is>
      </c>
      <c r="H249" s="16" t="n">
        <v>46097</v>
      </c>
      <c r="I249" s="20" t="inlineStr">
        <is>
          <t>Yes</t>
        </is>
      </c>
      <c r="J249" s="16" t="n">
        <v>46107</v>
      </c>
      <c r="K249" s="19" t="n">
        <v>5063</v>
      </c>
      <c r="L249" s="17">
        <f>IF(G249="Yes", H249-B249, "")</f>
        <v/>
      </c>
      <c r="M249" s="17">
        <f>IF(I249="Yes", J249-H249, "")</f>
        <v/>
      </c>
      <c r="N249" s="17">
        <f>IF(I249="Yes", J249-B249, "")</f>
        <v/>
      </c>
    </row>
    <row r="250">
      <c r="A250" s="25" t="inlineStr">
        <is>
          <t>LD-1178</t>
        </is>
      </c>
      <c r="B250" s="21" t="n">
        <v>46152</v>
      </c>
      <c r="C250" s="31" t="inlineStr">
        <is>
          <t>Bold Corp</t>
        </is>
      </c>
      <c r="D250" s="31" t="inlineStr">
        <is>
          <t>info@boldcorp.com</t>
        </is>
      </c>
      <c r="E250" s="25" t="inlineStr">
        <is>
          <t>LinkedIn</t>
        </is>
      </c>
      <c r="F250" s="25" t="inlineStr">
        <is>
          <t>Mid-Market</t>
        </is>
      </c>
      <c r="G250" s="25" t="inlineStr">
        <is>
          <t>Yes</t>
        </is>
      </c>
      <c r="H250" s="21" t="n">
        <v>46158</v>
      </c>
      <c r="I250" s="25" t="inlineStr">
        <is>
          <t>No</t>
        </is>
      </c>
      <c r="J250" s="21" t="n"/>
      <c r="K250" s="24" t="n">
        <v/>
      </c>
      <c r="L250" s="22">
        <f>IF(G250="Yes", H250-B250, "")</f>
        <v/>
      </c>
      <c r="M250" s="22">
        <f>IF(I250="Yes", J250-H250, "")</f>
        <v/>
      </c>
      <c r="N250" s="22">
        <f>IF(I250="Yes", J250-B250, "")</f>
        <v/>
      </c>
    </row>
    <row r="251">
      <c r="A251" s="20" t="inlineStr">
        <is>
          <t>LD-1107</t>
        </is>
      </c>
      <c r="B251" s="16" t="n">
        <v>46158</v>
      </c>
      <c r="C251" s="32" t="inlineStr">
        <is>
          <t>Core Solutions</t>
        </is>
      </c>
      <c r="D251" s="32" t="inlineStr">
        <is>
          <t>info@coresolutions.com</t>
        </is>
      </c>
      <c r="E251" s="20" t="inlineStr">
        <is>
          <t>LinkedIn</t>
        </is>
      </c>
      <c r="F251" s="20" t="inlineStr">
        <is>
          <t>SMB</t>
        </is>
      </c>
      <c r="G251" s="20" t="inlineStr">
        <is>
          <t>No</t>
        </is>
      </c>
      <c r="H251" s="16" t="n"/>
      <c r="I251" s="20" t="inlineStr">
        <is>
          <t>No</t>
        </is>
      </c>
      <c r="J251" s="16" t="n"/>
      <c r="K251" s="19" t="n">
        <v/>
      </c>
      <c r="L251" s="17">
        <f>IF(G251="Yes", H251-B251, "")</f>
        <v/>
      </c>
      <c r="M251" s="17">
        <f>IF(I251="Yes", J251-H251, "")</f>
        <v/>
      </c>
      <c r="N251" s="17">
        <f>IF(I251="Yes", J251-B251, "")</f>
        <v/>
      </c>
    </row>
    <row r="252">
      <c r="A252" s="25" t="inlineStr">
        <is>
          <t>LD-1329</t>
        </is>
      </c>
      <c r="B252" s="21" t="n">
        <v>46085</v>
      </c>
      <c r="C252" s="31" t="inlineStr">
        <is>
          <t>Quantum Inc</t>
        </is>
      </c>
      <c r="D252" s="31" t="inlineStr">
        <is>
          <t>info@quantuminc.com</t>
        </is>
      </c>
      <c r="E252" s="25" t="inlineStr">
        <is>
          <t>LinkedIn</t>
        </is>
      </c>
      <c r="F252" s="25" t="inlineStr">
        <is>
          <t>Enterprise</t>
        </is>
      </c>
      <c r="G252" s="25" t="inlineStr">
        <is>
          <t>Yes</t>
        </is>
      </c>
      <c r="H252" s="21" t="n">
        <v>46091</v>
      </c>
      <c r="I252" s="25" t="inlineStr">
        <is>
          <t>No</t>
        </is>
      </c>
      <c r="J252" s="21" t="n"/>
      <c r="K252" s="24" t="n">
        <v/>
      </c>
      <c r="L252" s="22">
        <f>IF(G252="Yes", H252-B252, "")</f>
        <v/>
      </c>
      <c r="M252" s="22">
        <f>IF(I252="Yes", J252-H252, "")</f>
        <v/>
      </c>
      <c r="N252" s="22">
        <f>IF(I252="Yes", J252-B252, "")</f>
        <v/>
      </c>
    </row>
    <row r="253">
      <c r="A253" s="20" t="inlineStr">
        <is>
          <t>LD-1228</t>
        </is>
      </c>
      <c r="B253" s="16" t="n">
        <v>46104</v>
      </c>
      <c r="C253" s="32" t="inlineStr">
        <is>
          <t>Quantum Group</t>
        </is>
      </c>
      <c r="D253" s="32" t="inlineStr">
        <is>
          <t>info@quantumgroup.com</t>
        </is>
      </c>
      <c r="E253" s="20" t="inlineStr">
        <is>
          <t>Referral</t>
        </is>
      </c>
      <c r="F253" s="20" t="inlineStr">
        <is>
          <t>SMB</t>
        </is>
      </c>
      <c r="G253" s="20" t="inlineStr">
        <is>
          <t>Yes</t>
        </is>
      </c>
      <c r="H253" s="16" t="n">
        <v>46114</v>
      </c>
      <c r="I253" s="20" t="inlineStr">
        <is>
          <t>No</t>
        </is>
      </c>
      <c r="J253" s="16" t="n"/>
      <c r="K253" s="19" t="n">
        <v/>
      </c>
      <c r="L253" s="17">
        <f>IF(G253="Yes", H253-B253, "")</f>
        <v/>
      </c>
      <c r="M253" s="17">
        <f>IF(I253="Yes", J253-H253, "")</f>
        <v/>
      </c>
      <c r="N253" s="17">
        <f>IF(I253="Yes", J253-B253, "")</f>
        <v/>
      </c>
    </row>
    <row r="254">
      <c r="A254" s="25" t="inlineStr">
        <is>
          <t>LD-1152</t>
        </is>
      </c>
      <c r="B254" s="21" t="n">
        <v>46124</v>
      </c>
      <c r="C254" s="31" t="inlineStr">
        <is>
          <t>Flux Global</t>
        </is>
      </c>
      <c r="D254" s="31" t="inlineStr">
        <is>
          <t>info@fluxglobal.com</t>
        </is>
      </c>
      <c r="E254" s="25" t="inlineStr">
        <is>
          <t>Organic / Direct</t>
        </is>
      </c>
      <c r="F254" s="25" t="inlineStr">
        <is>
          <t>Enterprise</t>
        </is>
      </c>
      <c r="G254" s="25" t="inlineStr">
        <is>
          <t>Yes</t>
        </is>
      </c>
      <c r="H254" s="21" t="n">
        <v>46132</v>
      </c>
      <c r="I254" s="25" t="inlineStr">
        <is>
          <t>No</t>
        </is>
      </c>
      <c r="J254" s="21" t="n"/>
      <c r="K254" s="24" t="n">
        <v/>
      </c>
      <c r="L254" s="22">
        <f>IF(G254="Yes", H254-B254, "")</f>
        <v/>
      </c>
      <c r="M254" s="22">
        <f>IF(I254="Yes", J254-H254, "")</f>
        <v/>
      </c>
      <c r="N254" s="22">
        <f>IF(I254="Yes", J254-B254, "")</f>
        <v/>
      </c>
    </row>
    <row r="255">
      <c r="A255" s="20" t="inlineStr">
        <is>
          <t>LD-1286</t>
        </is>
      </c>
      <c r="B255" s="16" t="n">
        <v>46120</v>
      </c>
      <c r="C255" s="32" t="inlineStr">
        <is>
          <t>Synergy Partners</t>
        </is>
      </c>
      <c r="D255" s="32" t="inlineStr">
        <is>
          <t>info@synergypartners.com</t>
        </is>
      </c>
      <c r="E255" s="20" t="inlineStr">
        <is>
          <t>Organic / Direct</t>
        </is>
      </c>
      <c r="F255" s="20" t="inlineStr">
        <is>
          <t>SMB</t>
        </is>
      </c>
      <c r="G255" s="20" t="inlineStr">
        <is>
          <t>No</t>
        </is>
      </c>
      <c r="H255" s="16" t="n"/>
      <c r="I255" s="20" t="inlineStr">
        <is>
          <t>No</t>
        </is>
      </c>
      <c r="J255" s="16" t="n"/>
      <c r="K255" s="19" t="n">
        <v/>
      </c>
      <c r="L255" s="17">
        <f>IF(G255="Yes", H255-B255, "")</f>
        <v/>
      </c>
      <c r="M255" s="17">
        <f>IF(I255="Yes", J255-H255, "")</f>
        <v/>
      </c>
      <c r="N255" s="17">
        <f>IF(I255="Yes", J255-B255, "")</f>
        <v/>
      </c>
    </row>
    <row r="256">
      <c r="A256" s="25" t="inlineStr">
        <is>
          <t>LD-1181</t>
        </is>
      </c>
      <c r="B256" s="21" t="n">
        <v>46120</v>
      </c>
      <c r="C256" s="31" t="inlineStr">
        <is>
          <t>Cloud Global</t>
        </is>
      </c>
      <c r="D256" s="31" t="inlineStr">
        <is>
          <t>info@cloudglobal.com</t>
        </is>
      </c>
      <c r="E256" s="25" t="inlineStr">
        <is>
          <t>LinkedIn</t>
        </is>
      </c>
      <c r="F256" s="25" t="inlineStr">
        <is>
          <t>Mid-Market</t>
        </is>
      </c>
      <c r="G256" s="25" t="inlineStr">
        <is>
          <t>No</t>
        </is>
      </c>
      <c r="H256" s="21" t="n"/>
      <c r="I256" s="25" t="inlineStr">
        <is>
          <t>No</t>
        </is>
      </c>
      <c r="J256" s="21" t="n"/>
      <c r="K256" s="24" t="n">
        <v/>
      </c>
      <c r="L256" s="22">
        <f>IF(G256="Yes", H256-B256, "")</f>
        <v/>
      </c>
      <c r="M256" s="22">
        <f>IF(I256="Yes", J256-H256, "")</f>
        <v/>
      </c>
      <c r="N256" s="22">
        <f>IF(I256="Yes", J256-B256, "")</f>
        <v/>
      </c>
    </row>
    <row r="257">
      <c r="A257" s="20" t="inlineStr">
        <is>
          <t>LD-1046</t>
        </is>
      </c>
      <c r="B257" s="16" t="n">
        <v>46095</v>
      </c>
      <c r="C257" s="32" t="inlineStr">
        <is>
          <t>Synergy Group</t>
        </is>
      </c>
      <c r="D257" s="32" t="inlineStr">
        <is>
          <t>info@synergygroup.com</t>
        </is>
      </c>
      <c r="E257" s="20" t="inlineStr">
        <is>
          <t>Referral</t>
        </is>
      </c>
      <c r="F257" s="20" t="inlineStr">
        <is>
          <t>SMB</t>
        </is>
      </c>
      <c r="G257" s="20" t="inlineStr">
        <is>
          <t>Yes</t>
        </is>
      </c>
      <c r="H257" s="16" t="n">
        <v>46097</v>
      </c>
      <c r="I257" s="20" t="inlineStr">
        <is>
          <t>No</t>
        </is>
      </c>
      <c r="J257" s="16" t="n"/>
      <c r="K257" s="19" t="n">
        <v/>
      </c>
      <c r="L257" s="17">
        <f>IF(G257="Yes", H257-B257, "")</f>
        <v/>
      </c>
      <c r="M257" s="17">
        <f>IF(I257="Yes", J257-H257, "")</f>
        <v/>
      </c>
      <c r="N257" s="17">
        <f>IF(I257="Yes", J257-B257, "")</f>
        <v/>
      </c>
    </row>
    <row r="258">
      <c r="A258" s="25" t="inlineStr">
        <is>
          <t>LD-1432</t>
        </is>
      </c>
      <c r="B258" s="21" t="n">
        <v>46155</v>
      </c>
      <c r="C258" s="31" t="inlineStr">
        <is>
          <t>Cloud Technologies</t>
        </is>
      </c>
      <c r="D258" s="31" t="inlineStr">
        <is>
          <t>info@cloudtechnologies.com</t>
        </is>
      </c>
      <c r="E258" s="25" t="inlineStr">
        <is>
          <t>Google</t>
        </is>
      </c>
      <c r="F258" s="25" t="inlineStr">
        <is>
          <t>SMB</t>
        </is>
      </c>
      <c r="G258" s="25" t="inlineStr">
        <is>
          <t>Yes</t>
        </is>
      </c>
      <c r="H258" s="21" t="n">
        <v>46162</v>
      </c>
      <c r="I258" s="25" t="inlineStr">
        <is>
          <t>Yes</t>
        </is>
      </c>
      <c r="J258" s="21" t="n">
        <v>46178</v>
      </c>
      <c r="K258" s="24" t="n">
        <v>275</v>
      </c>
      <c r="L258" s="22">
        <f>IF(G258="Yes", H258-B258, "")</f>
        <v/>
      </c>
      <c r="M258" s="22">
        <f>IF(I258="Yes", J258-H258, "")</f>
        <v/>
      </c>
      <c r="N258" s="22">
        <f>IF(I258="Yes", J258-B258, "")</f>
        <v/>
      </c>
    </row>
    <row r="259">
      <c r="A259" s="20" t="inlineStr">
        <is>
          <t>LD-1259</t>
        </is>
      </c>
      <c r="B259" s="16" t="n">
        <v>46160</v>
      </c>
      <c r="C259" s="32" t="inlineStr">
        <is>
          <t>Summit Group</t>
        </is>
      </c>
      <c r="D259" s="32" t="inlineStr">
        <is>
          <t>info@summitgroup.com</t>
        </is>
      </c>
      <c r="E259" s="20" t="inlineStr">
        <is>
          <t>Organic / Direct</t>
        </is>
      </c>
      <c r="F259" s="20" t="inlineStr">
        <is>
          <t>SMB</t>
        </is>
      </c>
      <c r="G259" s="20" t="inlineStr">
        <is>
          <t>Yes</t>
        </is>
      </c>
      <c r="H259" s="16" t="n">
        <v>46169</v>
      </c>
      <c r="I259" s="20" t="inlineStr">
        <is>
          <t>Yes</t>
        </is>
      </c>
      <c r="J259" s="16" t="n">
        <v>46179</v>
      </c>
      <c r="K259" s="19" t="n">
        <v>182</v>
      </c>
      <c r="L259" s="17">
        <f>IF(G259="Yes", H259-B259, "")</f>
        <v/>
      </c>
      <c r="M259" s="17">
        <f>IF(I259="Yes", J259-H259, "")</f>
        <v/>
      </c>
      <c r="N259" s="17">
        <f>IF(I259="Yes", J259-B259, "")</f>
        <v/>
      </c>
    </row>
    <row r="260">
      <c r="A260" s="25" t="inlineStr">
        <is>
          <t>LD-1004</t>
        </is>
      </c>
      <c r="B260" s="21" t="n">
        <v>46125</v>
      </c>
      <c r="C260" s="31" t="inlineStr">
        <is>
          <t>Omega Corp</t>
        </is>
      </c>
      <c r="D260" s="31" t="inlineStr">
        <is>
          <t>info@omegacorp.com</t>
        </is>
      </c>
      <c r="E260" s="25" t="inlineStr">
        <is>
          <t>LinkedIn</t>
        </is>
      </c>
      <c r="F260" s="25" t="inlineStr">
        <is>
          <t>SMB</t>
        </is>
      </c>
      <c r="G260" s="25" t="inlineStr">
        <is>
          <t>No</t>
        </is>
      </c>
      <c r="H260" s="21" t="n"/>
      <c r="I260" s="25" t="inlineStr">
        <is>
          <t>No</t>
        </is>
      </c>
      <c r="J260" s="21" t="n"/>
      <c r="K260" s="24" t="n">
        <v/>
      </c>
      <c r="L260" s="22">
        <f>IF(G260="Yes", H260-B260, "")</f>
        <v/>
      </c>
      <c r="M260" s="22">
        <f>IF(I260="Yes", J260-H260, "")</f>
        <v/>
      </c>
      <c r="N260" s="22">
        <f>IF(I260="Yes", J260-B260, "")</f>
        <v/>
      </c>
    </row>
    <row r="261">
      <c r="A261" s="20" t="inlineStr">
        <is>
          <t>LD-1391</t>
        </is>
      </c>
      <c r="B261" s="16" t="n">
        <v>46151</v>
      </c>
      <c r="C261" s="32" t="inlineStr">
        <is>
          <t>Sovereign Technologies</t>
        </is>
      </c>
      <c r="D261" s="32" t="inlineStr">
        <is>
          <t>info@sovereigntechnologies.com</t>
        </is>
      </c>
      <c r="E261" s="20" t="inlineStr">
        <is>
          <t>Organic / Direct</t>
        </is>
      </c>
      <c r="F261" s="20" t="inlineStr">
        <is>
          <t>Enterprise</t>
        </is>
      </c>
      <c r="G261" s="20" t="inlineStr">
        <is>
          <t>Yes</t>
        </is>
      </c>
      <c r="H261" s="16" t="n">
        <v>46152</v>
      </c>
      <c r="I261" s="20" t="inlineStr">
        <is>
          <t>No</t>
        </is>
      </c>
      <c r="J261" s="16" t="n"/>
      <c r="K261" s="19" t="n">
        <v/>
      </c>
      <c r="L261" s="17">
        <f>IF(G261="Yes", H261-B261, "")</f>
        <v/>
      </c>
      <c r="M261" s="17">
        <f>IF(I261="Yes", J261-H261, "")</f>
        <v/>
      </c>
      <c r="N261" s="17">
        <f>IF(I261="Yes", J261-B261, "")</f>
        <v/>
      </c>
    </row>
    <row r="262">
      <c r="A262" s="25" t="inlineStr">
        <is>
          <t>LD-1347</t>
        </is>
      </c>
      <c r="B262" s="21" t="n">
        <v>46111</v>
      </c>
      <c r="C262" s="31" t="inlineStr">
        <is>
          <t>Sovereign Solutions</t>
        </is>
      </c>
      <c r="D262" s="31" t="inlineStr">
        <is>
          <t>info@sovereignsolutions.com</t>
        </is>
      </c>
      <c r="E262" s="25" t="inlineStr">
        <is>
          <t>Google</t>
        </is>
      </c>
      <c r="F262" s="25" t="inlineStr">
        <is>
          <t>SMB</t>
        </is>
      </c>
      <c r="G262" s="25" t="inlineStr">
        <is>
          <t>Yes</t>
        </is>
      </c>
      <c r="H262" s="21" t="n">
        <v>46112</v>
      </c>
      <c r="I262" s="25" t="inlineStr">
        <is>
          <t>No</t>
        </is>
      </c>
      <c r="J262" s="21" t="n"/>
      <c r="K262" s="24" t="n">
        <v/>
      </c>
      <c r="L262" s="22">
        <f>IF(G262="Yes", H262-B262, "")</f>
        <v/>
      </c>
      <c r="M262" s="22">
        <f>IF(I262="Yes", J262-H262, "")</f>
        <v/>
      </c>
      <c r="N262" s="22">
        <f>IF(I262="Yes", J262-B262, "")</f>
        <v/>
      </c>
    </row>
    <row r="263">
      <c r="A263" s="20" t="inlineStr">
        <is>
          <t>LD-1548</t>
        </is>
      </c>
      <c r="B263" s="16" t="n">
        <v>46151</v>
      </c>
      <c r="C263" s="32" t="inlineStr">
        <is>
          <t>Stellar Inc</t>
        </is>
      </c>
      <c r="D263" s="32" t="inlineStr">
        <is>
          <t>info@stellarinc.com</t>
        </is>
      </c>
      <c r="E263" s="20" t="inlineStr">
        <is>
          <t>Google</t>
        </is>
      </c>
      <c r="F263" s="20" t="inlineStr">
        <is>
          <t>Mid-Market</t>
        </is>
      </c>
      <c r="G263" s="20" t="inlineStr">
        <is>
          <t>Yes</t>
        </is>
      </c>
      <c r="H263" s="16" t="n">
        <v>46159</v>
      </c>
      <c r="I263" s="20" t="inlineStr">
        <is>
          <t>No</t>
        </is>
      </c>
      <c r="J263" s="16" t="n"/>
      <c r="K263" s="19" t="n">
        <v/>
      </c>
      <c r="L263" s="17">
        <f>IF(G263="Yes", H263-B263, "")</f>
        <v/>
      </c>
      <c r="M263" s="17">
        <f>IF(I263="Yes", J263-H263, "")</f>
        <v/>
      </c>
      <c r="N263" s="17">
        <f>IF(I263="Yes", J263-B263, "")</f>
        <v/>
      </c>
    </row>
    <row r="264">
      <c r="A264" s="25" t="inlineStr">
        <is>
          <t>LD-1081</t>
        </is>
      </c>
      <c r="B264" s="21" t="n">
        <v>46082</v>
      </c>
      <c r="C264" s="31" t="inlineStr">
        <is>
          <t>Pulse Partners</t>
        </is>
      </c>
      <c r="D264" s="31" t="inlineStr">
        <is>
          <t>info@pulsepartners.com</t>
        </is>
      </c>
      <c r="E264" s="25" t="inlineStr">
        <is>
          <t>LinkedIn</t>
        </is>
      </c>
      <c r="F264" s="25" t="inlineStr">
        <is>
          <t>Enterprise</t>
        </is>
      </c>
      <c r="G264" s="25" t="inlineStr">
        <is>
          <t>No</t>
        </is>
      </c>
      <c r="H264" s="21" t="n"/>
      <c r="I264" s="25" t="inlineStr">
        <is>
          <t>No</t>
        </is>
      </c>
      <c r="J264" s="21" t="n"/>
      <c r="K264" s="24" t="n">
        <v/>
      </c>
      <c r="L264" s="22">
        <f>IF(G264="Yes", H264-B264, "")</f>
        <v/>
      </c>
      <c r="M264" s="22">
        <f>IF(I264="Yes", J264-H264, "")</f>
        <v/>
      </c>
      <c r="N264" s="22">
        <f>IF(I264="Yes", J264-B264, "")</f>
        <v/>
      </c>
    </row>
    <row r="265">
      <c r="A265" s="20" t="inlineStr">
        <is>
          <t>LD-1480</t>
        </is>
      </c>
      <c r="B265" s="16" t="n">
        <v>46152</v>
      </c>
      <c r="C265" s="32" t="inlineStr">
        <is>
          <t>Nova LLC</t>
        </is>
      </c>
      <c r="D265" s="32" t="inlineStr">
        <is>
          <t>info@novallc.com</t>
        </is>
      </c>
      <c r="E265" s="20" t="inlineStr">
        <is>
          <t>Google</t>
        </is>
      </c>
      <c r="F265" s="20" t="inlineStr">
        <is>
          <t>SMB</t>
        </is>
      </c>
      <c r="G265" s="20" t="inlineStr">
        <is>
          <t>Yes</t>
        </is>
      </c>
      <c r="H265" s="16" t="n">
        <v>46156</v>
      </c>
      <c r="I265" s="20" t="inlineStr">
        <is>
          <t>No</t>
        </is>
      </c>
      <c r="J265" s="16" t="n"/>
      <c r="K265" s="19" t="n">
        <v/>
      </c>
      <c r="L265" s="17">
        <f>IF(G265="Yes", H265-B265, "")</f>
        <v/>
      </c>
      <c r="M265" s="17">
        <f>IF(I265="Yes", J265-H265, "")</f>
        <v/>
      </c>
      <c r="N265" s="17">
        <f>IF(I265="Yes", J265-B265, "")</f>
        <v/>
      </c>
    </row>
    <row r="266">
      <c r="A266" s="25" t="inlineStr">
        <is>
          <t>LD-1052</t>
        </is>
      </c>
      <c r="B266" s="21" t="n">
        <v>46155</v>
      </c>
      <c r="C266" s="31" t="inlineStr">
        <is>
          <t>Acme Co</t>
        </is>
      </c>
      <c r="D266" s="31" t="inlineStr">
        <is>
          <t>info@acmeco.com</t>
        </is>
      </c>
      <c r="E266" s="25" t="inlineStr">
        <is>
          <t>Referral</t>
        </is>
      </c>
      <c r="F266" s="25" t="inlineStr">
        <is>
          <t>Enterprise</t>
        </is>
      </c>
      <c r="G266" s="25" t="inlineStr">
        <is>
          <t>No</t>
        </is>
      </c>
      <c r="H266" s="21" t="n"/>
      <c r="I266" s="25" t="inlineStr">
        <is>
          <t>No</t>
        </is>
      </c>
      <c r="J266" s="21" t="n"/>
      <c r="K266" s="24" t="n">
        <v/>
      </c>
      <c r="L266" s="22">
        <f>IF(G266="Yes", H266-B266, "")</f>
        <v/>
      </c>
      <c r="M266" s="22">
        <f>IF(I266="Yes", J266-H266, "")</f>
        <v/>
      </c>
      <c r="N266" s="22">
        <f>IF(I266="Yes", J266-B266, "")</f>
        <v/>
      </c>
    </row>
    <row r="267">
      <c r="A267" s="20" t="inlineStr">
        <is>
          <t>LD-1069</t>
        </is>
      </c>
      <c r="B267" s="16" t="n">
        <v>46098</v>
      </c>
      <c r="C267" s="32" t="inlineStr">
        <is>
          <t>Apex Global</t>
        </is>
      </c>
      <c r="D267" s="32" t="inlineStr">
        <is>
          <t>info@apexglobal.com</t>
        </is>
      </c>
      <c r="E267" s="20" t="inlineStr">
        <is>
          <t>Webinar</t>
        </is>
      </c>
      <c r="F267" s="20" t="inlineStr">
        <is>
          <t>Mid-Market</t>
        </is>
      </c>
      <c r="G267" s="20" t="inlineStr">
        <is>
          <t>Yes</t>
        </is>
      </c>
      <c r="H267" s="16" t="n">
        <v>46099</v>
      </c>
      <c r="I267" s="20" t="inlineStr">
        <is>
          <t>No</t>
        </is>
      </c>
      <c r="J267" s="16" t="n"/>
      <c r="K267" s="19" t="n">
        <v/>
      </c>
      <c r="L267" s="17">
        <f>IF(G267="Yes", H267-B267, "")</f>
        <v/>
      </c>
      <c r="M267" s="17">
        <f>IF(I267="Yes", J267-H267, "")</f>
        <v/>
      </c>
      <c r="N267" s="17">
        <f>IF(I267="Yes", J267-B267, "")</f>
        <v/>
      </c>
    </row>
    <row r="268">
      <c r="A268" s="25" t="inlineStr">
        <is>
          <t>LD-1356</t>
        </is>
      </c>
      <c r="B268" s="21" t="n">
        <v>46103</v>
      </c>
      <c r="C268" s="31" t="inlineStr">
        <is>
          <t>Alpha Technologies</t>
        </is>
      </c>
      <c r="D268" s="31" t="inlineStr">
        <is>
          <t>info@alphatechnologies.com</t>
        </is>
      </c>
      <c r="E268" s="25" t="inlineStr">
        <is>
          <t>LinkedIn</t>
        </is>
      </c>
      <c r="F268" s="25" t="inlineStr">
        <is>
          <t>SMB</t>
        </is>
      </c>
      <c r="G268" s="25" t="inlineStr">
        <is>
          <t>Yes</t>
        </is>
      </c>
      <c r="H268" s="21" t="n">
        <v>46110</v>
      </c>
      <c r="I268" s="25" t="inlineStr">
        <is>
          <t>No</t>
        </is>
      </c>
      <c r="J268" s="21" t="n"/>
      <c r="K268" s="24" t="n">
        <v/>
      </c>
      <c r="L268" s="22">
        <f>IF(G268="Yes", H268-B268, "")</f>
        <v/>
      </c>
      <c r="M268" s="22">
        <f>IF(I268="Yes", J268-H268, "")</f>
        <v/>
      </c>
      <c r="N268" s="22">
        <f>IF(I268="Yes", J268-B268, "")</f>
        <v/>
      </c>
    </row>
    <row r="269">
      <c r="A269" s="20" t="inlineStr">
        <is>
          <t>LD-1495</t>
        </is>
      </c>
      <c r="B269" s="16" t="n">
        <v>46134</v>
      </c>
      <c r="C269" s="32" t="inlineStr">
        <is>
          <t>Beacon Group</t>
        </is>
      </c>
      <c r="D269" s="32" t="inlineStr">
        <is>
          <t>info@beacongroup.com</t>
        </is>
      </c>
      <c r="E269" s="20" t="inlineStr">
        <is>
          <t>Google</t>
        </is>
      </c>
      <c r="F269" s="20" t="inlineStr">
        <is>
          <t>SMB</t>
        </is>
      </c>
      <c r="G269" s="20" t="inlineStr">
        <is>
          <t>No</t>
        </is>
      </c>
      <c r="H269" s="16" t="n"/>
      <c r="I269" s="20" t="inlineStr">
        <is>
          <t>No</t>
        </is>
      </c>
      <c r="J269" s="16" t="n"/>
      <c r="K269" s="19" t="n">
        <v/>
      </c>
      <c r="L269" s="17">
        <f>IF(G269="Yes", H269-B269, "")</f>
        <v/>
      </c>
      <c r="M269" s="17">
        <f>IF(I269="Yes", J269-H269, "")</f>
        <v/>
      </c>
      <c r="N269" s="17">
        <f>IF(I269="Yes", J269-B269, "")</f>
        <v/>
      </c>
    </row>
    <row r="270">
      <c r="A270" s="25" t="inlineStr">
        <is>
          <t>LD-1529</t>
        </is>
      </c>
      <c r="B270" s="21" t="n">
        <v>46152</v>
      </c>
      <c r="C270" s="31" t="inlineStr">
        <is>
          <t>Sovereign Technologies</t>
        </is>
      </c>
      <c r="D270" s="31" t="inlineStr">
        <is>
          <t>info@sovereigntechnologies.com</t>
        </is>
      </c>
      <c r="E270" s="25" t="inlineStr">
        <is>
          <t>LinkedIn</t>
        </is>
      </c>
      <c r="F270" s="25" t="inlineStr">
        <is>
          <t>Enterprise</t>
        </is>
      </c>
      <c r="G270" s="25" t="inlineStr">
        <is>
          <t>No</t>
        </is>
      </c>
      <c r="H270" s="21" t="n"/>
      <c r="I270" s="25" t="inlineStr">
        <is>
          <t>No</t>
        </is>
      </c>
      <c r="J270" s="21" t="n"/>
      <c r="K270" s="24" t="n">
        <v/>
      </c>
      <c r="L270" s="22">
        <f>IF(G270="Yes", H270-B270, "")</f>
        <v/>
      </c>
      <c r="M270" s="22">
        <f>IF(I270="Yes", J270-H270, "")</f>
        <v/>
      </c>
      <c r="N270" s="22">
        <f>IF(I270="Yes", J270-B270, "")</f>
        <v/>
      </c>
    </row>
    <row r="271">
      <c r="A271" s="20" t="inlineStr">
        <is>
          <t>LD-1085</t>
        </is>
      </c>
      <c r="B271" s="16" t="n">
        <v>46113</v>
      </c>
      <c r="C271" s="32" t="inlineStr">
        <is>
          <t>Sovereign LLC</t>
        </is>
      </c>
      <c r="D271" s="32" t="inlineStr">
        <is>
          <t>info@sovereignllc.com</t>
        </is>
      </c>
      <c r="E271" s="20" t="inlineStr">
        <is>
          <t>Organic / Direct</t>
        </is>
      </c>
      <c r="F271" s="20" t="inlineStr">
        <is>
          <t>SMB</t>
        </is>
      </c>
      <c r="G271" s="20" t="inlineStr">
        <is>
          <t>No</t>
        </is>
      </c>
      <c r="H271" s="16" t="n"/>
      <c r="I271" s="20" t="inlineStr">
        <is>
          <t>No</t>
        </is>
      </c>
      <c r="J271" s="16" t="n"/>
      <c r="K271" s="19" t="n">
        <v/>
      </c>
      <c r="L271" s="17">
        <f>IF(G271="Yes", H271-B271, "")</f>
        <v/>
      </c>
      <c r="M271" s="17">
        <f>IF(I271="Yes", J271-H271, "")</f>
        <v/>
      </c>
      <c r="N271" s="17">
        <f>IF(I271="Yes", J271-B271, "")</f>
        <v/>
      </c>
    </row>
    <row r="272">
      <c r="A272" s="25" t="inlineStr">
        <is>
          <t>LD-1190</t>
        </is>
      </c>
      <c r="B272" s="21" t="n">
        <v>46138</v>
      </c>
      <c r="C272" s="31" t="inlineStr">
        <is>
          <t>Zenith Solutions</t>
        </is>
      </c>
      <c r="D272" s="31" t="inlineStr">
        <is>
          <t>info@zenithsolutions.com</t>
        </is>
      </c>
      <c r="E272" s="25" t="inlineStr">
        <is>
          <t>Cold Outreach</t>
        </is>
      </c>
      <c r="F272" s="25" t="inlineStr">
        <is>
          <t>Enterprise</t>
        </is>
      </c>
      <c r="G272" s="25" t="inlineStr">
        <is>
          <t>Yes</t>
        </is>
      </c>
      <c r="H272" s="21" t="n">
        <v>46140</v>
      </c>
      <c r="I272" s="25" t="inlineStr">
        <is>
          <t>No</t>
        </is>
      </c>
      <c r="J272" s="21" t="n"/>
      <c r="K272" s="24" t="n">
        <v/>
      </c>
      <c r="L272" s="22">
        <f>IF(G272="Yes", H272-B272, "")</f>
        <v/>
      </c>
      <c r="M272" s="22">
        <f>IF(I272="Yes", J272-H272, "")</f>
        <v/>
      </c>
      <c r="N272" s="22">
        <f>IF(I272="Yes", J272-B272, "")</f>
        <v/>
      </c>
    </row>
    <row r="273">
      <c r="A273" s="20" t="inlineStr">
        <is>
          <t>LD-1087</t>
        </is>
      </c>
      <c r="B273" s="16" t="n">
        <v>46157</v>
      </c>
      <c r="C273" s="32" t="inlineStr">
        <is>
          <t>Zenith Group</t>
        </is>
      </c>
      <c r="D273" s="32" t="inlineStr">
        <is>
          <t>info@zenithgroup.com</t>
        </is>
      </c>
      <c r="E273" s="20" t="inlineStr">
        <is>
          <t>LinkedIn</t>
        </is>
      </c>
      <c r="F273" s="20" t="inlineStr">
        <is>
          <t>Enterprise</t>
        </is>
      </c>
      <c r="G273" s="20" t="inlineStr">
        <is>
          <t>No</t>
        </is>
      </c>
      <c r="H273" s="16" t="n"/>
      <c r="I273" s="20" t="inlineStr">
        <is>
          <t>No</t>
        </is>
      </c>
      <c r="J273" s="16" t="n"/>
      <c r="K273" s="19" t="n">
        <v/>
      </c>
      <c r="L273" s="17">
        <f>IF(G273="Yes", H273-B273, "")</f>
        <v/>
      </c>
      <c r="M273" s="17">
        <f>IF(I273="Yes", J273-H273, "")</f>
        <v/>
      </c>
      <c r="N273" s="17">
        <f>IF(I273="Yes", J273-B273, "")</f>
        <v/>
      </c>
    </row>
    <row r="274">
      <c r="A274" s="25" t="inlineStr">
        <is>
          <t>LD-1213</t>
        </is>
      </c>
      <c r="B274" s="21" t="n">
        <v>46110</v>
      </c>
      <c r="C274" s="31" t="inlineStr">
        <is>
          <t>Sovereign Partners</t>
        </is>
      </c>
      <c r="D274" s="31" t="inlineStr">
        <is>
          <t>info@sovereignpartners.com</t>
        </is>
      </c>
      <c r="E274" s="25" t="inlineStr">
        <is>
          <t>Referral</t>
        </is>
      </c>
      <c r="F274" s="25" t="inlineStr">
        <is>
          <t>Enterprise</t>
        </is>
      </c>
      <c r="G274" s="25" t="inlineStr">
        <is>
          <t>Yes</t>
        </is>
      </c>
      <c r="H274" s="21" t="n">
        <v>46117</v>
      </c>
      <c r="I274" s="25" t="inlineStr">
        <is>
          <t>Yes</t>
        </is>
      </c>
      <c r="J274" s="21" t="n">
        <v>46128</v>
      </c>
      <c r="K274" s="24" t="n">
        <v>5705</v>
      </c>
      <c r="L274" s="22">
        <f>IF(G274="Yes", H274-B274, "")</f>
        <v/>
      </c>
      <c r="M274" s="22">
        <f>IF(I274="Yes", J274-H274, "")</f>
        <v/>
      </c>
      <c r="N274" s="22">
        <f>IF(I274="Yes", J274-B274, "")</f>
        <v/>
      </c>
    </row>
    <row r="275">
      <c r="A275" s="20" t="inlineStr">
        <is>
          <t>LD-1482</t>
        </is>
      </c>
      <c r="B275" s="16" t="n">
        <v>46128</v>
      </c>
      <c r="C275" s="32" t="inlineStr">
        <is>
          <t>Core Co</t>
        </is>
      </c>
      <c r="D275" s="32" t="inlineStr">
        <is>
          <t>info@coreco.com</t>
        </is>
      </c>
      <c r="E275" s="20" t="inlineStr">
        <is>
          <t>LinkedIn</t>
        </is>
      </c>
      <c r="F275" s="20" t="inlineStr">
        <is>
          <t>SMB</t>
        </is>
      </c>
      <c r="G275" s="20" t="inlineStr">
        <is>
          <t>No</t>
        </is>
      </c>
      <c r="H275" s="16" t="n"/>
      <c r="I275" s="20" t="inlineStr">
        <is>
          <t>No</t>
        </is>
      </c>
      <c r="J275" s="16" t="n"/>
      <c r="K275" s="19" t="n">
        <v/>
      </c>
      <c r="L275" s="17">
        <f>IF(G275="Yes", H275-B275, "")</f>
        <v/>
      </c>
      <c r="M275" s="17">
        <f>IF(I275="Yes", J275-H275, "")</f>
        <v/>
      </c>
      <c r="N275" s="17">
        <f>IF(I275="Yes", J275-B275, "")</f>
        <v/>
      </c>
    </row>
    <row r="276">
      <c r="A276" s="25" t="inlineStr">
        <is>
          <t>LD-1141</t>
        </is>
      </c>
      <c r="B276" s="21" t="n">
        <v>46161</v>
      </c>
      <c r="C276" s="31" t="inlineStr">
        <is>
          <t>Omega Group</t>
        </is>
      </c>
      <c r="D276" s="31" t="inlineStr">
        <is>
          <t>info@omegagroup.com</t>
        </is>
      </c>
      <c r="E276" s="25" t="inlineStr">
        <is>
          <t>Organic / Direct</t>
        </is>
      </c>
      <c r="F276" s="25" t="inlineStr">
        <is>
          <t>Enterprise</t>
        </is>
      </c>
      <c r="G276" s="25" t="inlineStr">
        <is>
          <t>No</t>
        </is>
      </c>
      <c r="H276" s="21" t="n"/>
      <c r="I276" s="25" t="inlineStr">
        <is>
          <t>No</t>
        </is>
      </c>
      <c r="J276" s="21" t="n"/>
      <c r="K276" s="24" t="n">
        <v/>
      </c>
      <c r="L276" s="22">
        <f>IF(G276="Yes", H276-B276, "")</f>
        <v/>
      </c>
      <c r="M276" s="22">
        <f>IF(I276="Yes", J276-H276, "")</f>
        <v/>
      </c>
      <c r="N276" s="22">
        <f>IF(I276="Yes", J276-B276, "")</f>
        <v/>
      </c>
    </row>
    <row r="277"/>
    <row r="278">
      <c r="A278" s="25" t="inlineStr">
        <is>
          <t>LD-1377</t>
        </is>
      </c>
      <c r="B278" s="21" t="n">
        <v>46130</v>
      </c>
      <c r="C278" s="31" t="inlineStr">
        <is>
          <t>Core Global</t>
        </is>
      </c>
      <c r="D278" s="31" t="inlineStr">
        <is>
          <t>info@coreglobal.com</t>
        </is>
      </c>
      <c r="E278" s="25" t="inlineStr">
        <is>
          <t>LinkedIn</t>
        </is>
      </c>
      <c r="F278" s="25" t="inlineStr">
        <is>
          <t>Enterprise</t>
        </is>
      </c>
      <c r="G278" s="25" t="inlineStr">
        <is>
          <t>No</t>
        </is>
      </c>
      <c r="H278" s="21" t="n"/>
      <c r="I278" s="25" t="inlineStr">
        <is>
          <t>No</t>
        </is>
      </c>
      <c r="J278" s="21" t="n"/>
      <c r="K278" s="24" t="n">
        <v/>
      </c>
      <c r="L278" s="22">
        <f>IF(G278="Yes", H278-B278, "")</f>
        <v/>
      </c>
      <c r="M278" s="22">
        <f>IF(I278="Yes", J278-H278, "")</f>
        <v/>
      </c>
      <c r="N278" s="22">
        <f>IF(I278="Yes", J278-B278, "")</f>
        <v/>
      </c>
    </row>
    <row r="279">
      <c r="A279" s="20" t="inlineStr">
        <is>
          <t>LD-1136</t>
        </is>
      </c>
      <c r="B279" s="16" t="n">
        <v>46131</v>
      </c>
      <c r="C279" s="32" t="inlineStr">
        <is>
          <t>Core Inc</t>
        </is>
      </c>
      <c r="D279" s="32" t="inlineStr">
        <is>
          <t>info@coreinc.com</t>
        </is>
      </c>
      <c r="E279" s="20" t="inlineStr">
        <is>
          <t>Google</t>
        </is>
      </c>
      <c r="F279" s="20" t="inlineStr">
        <is>
          <t>Mid-Market</t>
        </is>
      </c>
      <c r="G279" s="20" t="inlineStr">
        <is>
          <t>Yes</t>
        </is>
      </c>
      <c r="H279" s="16" t="n">
        <v>46138</v>
      </c>
      <c r="I279" s="20" t="inlineStr">
        <is>
          <t>Yes</t>
        </is>
      </c>
      <c r="J279" s="16" t="n">
        <v>46147</v>
      </c>
      <c r="K279" s="19" t="n">
        <v>841</v>
      </c>
      <c r="L279" s="17">
        <f>IF(G279="Yes", H279-B279, "")</f>
        <v/>
      </c>
      <c r="M279" s="17">
        <f>IF(I279="Yes", J279-H279, "")</f>
        <v/>
      </c>
      <c r="N279" s="17">
        <f>IF(I279="Yes", J279-B279, "")</f>
        <v/>
      </c>
    </row>
    <row r="280">
      <c r="A280" s="25" t="inlineStr">
        <is>
          <t>LD-1302</t>
        </is>
      </c>
      <c r="B280" s="21" t="n">
        <v>46089</v>
      </c>
      <c r="C280" s="31" t="inlineStr">
        <is>
          <t>Synergy LLC</t>
        </is>
      </c>
      <c r="D280" s="31" t="inlineStr">
        <is>
          <t>info@synergyllc.com</t>
        </is>
      </c>
      <c r="E280" s="25" t="inlineStr">
        <is>
          <t>Google</t>
        </is>
      </c>
      <c r="F280" s="25" t="inlineStr">
        <is>
          <t>SMB</t>
        </is>
      </c>
      <c r="G280" s="25" t="inlineStr">
        <is>
          <t>Yes</t>
        </is>
      </c>
      <c r="H280" s="21" t="n">
        <v>46095</v>
      </c>
      <c r="I280" s="25" t="inlineStr">
        <is>
          <t>No</t>
        </is>
      </c>
      <c r="J280" s="21" t="n"/>
      <c r="K280" s="24" t="n">
        <v/>
      </c>
      <c r="L280" s="22">
        <f>IF(G280="Yes", H280-B280, "")</f>
        <v/>
      </c>
      <c r="M280" s="22">
        <f>IF(I280="Yes", J280-H280, "")</f>
        <v/>
      </c>
      <c r="N280" s="22">
        <f>IF(I280="Yes", J280-B280, "")</f>
        <v/>
      </c>
    </row>
    <row r="281">
      <c r="A281" s="20" t="inlineStr">
        <is>
          <t>LD-1306</t>
        </is>
      </c>
      <c r="B281" s="16" t="n">
        <v>46099</v>
      </c>
      <c r="C281" s="32" t="inlineStr">
        <is>
          <t>Zenith Co</t>
        </is>
      </c>
      <c r="D281" s="32" t="inlineStr">
        <is>
          <t>info@zenithco.com</t>
        </is>
      </c>
      <c r="E281" s="20" t="inlineStr">
        <is>
          <t>Organic / Direct</t>
        </is>
      </c>
      <c r="F281" s="20" t="inlineStr">
        <is>
          <t>Enterprise</t>
        </is>
      </c>
      <c r="G281" s="20" t="inlineStr">
        <is>
          <t>No</t>
        </is>
      </c>
      <c r="H281" s="16" t="n"/>
      <c r="I281" s="20" t="inlineStr">
        <is>
          <t>No</t>
        </is>
      </c>
      <c r="J281" s="16" t="n"/>
      <c r="K281" s="19" t="n">
        <v/>
      </c>
      <c r="L281" s="17">
        <f>IF(G281="Yes", H281-B281, "")</f>
        <v/>
      </c>
      <c r="M281" s="17">
        <f>IF(I281="Yes", J281-H281, "")</f>
        <v/>
      </c>
      <c r="N281" s="17">
        <f>IF(I281="Yes", J281-B281, "")</f>
        <v/>
      </c>
    </row>
    <row r="282">
      <c r="A282" s="25" t="inlineStr">
        <is>
          <t>LD-1110</t>
        </is>
      </c>
      <c r="B282" s="21" t="n">
        <v>46112</v>
      </c>
      <c r="C282" s="31" t="inlineStr">
        <is>
          <t>Acme Group</t>
        </is>
      </c>
      <c r="D282" s="31" t="inlineStr">
        <is>
          <t>info@acmegroup.com</t>
        </is>
      </c>
      <c r="E282" s="25" t="inlineStr">
        <is>
          <t>Referral</t>
        </is>
      </c>
      <c r="F282" s="25" t="inlineStr">
        <is>
          <t>Enterprise</t>
        </is>
      </c>
      <c r="G282" s="25" t="inlineStr">
        <is>
          <t>Yes</t>
        </is>
      </c>
      <c r="H282" s="21" t="n">
        <v>46114</v>
      </c>
      <c r="I282" s="25" t="inlineStr">
        <is>
          <t>No</t>
        </is>
      </c>
      <c r="J282" s="21" t="n"/>
      <c r="K282" s="24" t="n">
        <v/>
      </c>
      <c r="L282" s="22">
        <f>IF(G282="Yes", H282-B282, "")</f>
        <v/>
      </c>
      <c r="M282" s="22">
        <f>IF(I282="Yes", J282-H282, "")</f>
        <v/>
      </c>
      <c r="N282" s="22">
        <f>IF(I282="Yes", J282-B282, "")</f>
        <v/>
      </c>
    </row>
    <row r="283">
      <c r="A283" s="20" t="inlineStr">
        <is>
          <t>LD-1165</t>
        </is>
      </c>
      <c r="B283" s="16" t="n">
        <v>46152</v>
      </c>
      <c r="C283" s="32" t="inlineStr">
        <is>
          <t>Nova Corp</t>
        </is>
      </c>
      <c r="D283" s="32" t="inlineStr">
        <is>
          <t>info@novacorp.com</t>
        </is>
      </c>
      <c r="E283" s="20" t="inlineStr">
        <is>
          <t>Organic / Direct</t>
        </is>
      </c>
      <c r="F283" s="20" t="inlineStr">
        <is>
          <t>Mid-Market</t>
        </is>
      </c>
      <c r="G283" s="20" t="inlineStr">
        <is>
          <t>Yes</t>
        </is>
      </c>
      <c r="H283" s="16" t="n">
        <v>46159</v>
      </c>
      <c r="I283" s="20" t="inlineStr">
        <is>
          <t>No</t>
        </is>
      </c>
      <c r="J283" s="16" t="n"/>
      <c r="K283" s="19" t="n">
        <v/>
      </c>
      <c r="L283" s="17">
        <f>IF(G283="Yes", H283-B283, "")</f>
        <v/>
      </c>
      <c r="M283" s="17">
        <f>IF(I283="Yes", J283-H283, "")</f>
        <v/>
      </c>
      <c r="N283" s="17">
        <f>IF(I283="Yes", J283-B283, "")</f>
        <v/>
      </c>
    </row>
    <row r="284">
      <c r="A284" s="25" t="inlineStr">
        <is>
          <t>LD-1071</t>
        </is>
      </c>
      <c r="B284" s="21" t="n">
        <v>46133</v>
      </c>
      <c r="C284" s="31" t="inlineStr">
        <is>
          <t>Shift Inc</t>
        </is>
      </c>
      <c r="D284" s="31" t="inlineStr">
        <is>
          <t>info@shiftinc.com</t>
        </is>
      </c>
      <c r="E284" s="25" t="inlineStr">
        <is>
          <t>LinkedIn</t>
        </is>
      </c>
      <c r="F284" s="25" t="inlineStr">
        <is>
          <t>SMB</t>
        </is>
      </c>
      <c r="G284" s="25" t="inlineStr">
        <is>
          <t>No</t>
        </is>
      </c>
      <c r="H284" s="21" t="n"/>
      <c r="I284" s="25" t="inlineStr">
        <is>
          <t>No</t>
        </is>
      </c>
      <c r="J284" s="21" t="n"/>
      <c r="K284" s="24" t="n">
        <v/>
      </c>
      <c r="L284" s="22">
        <f>IF(G284="Yes", H284-B284, "")</f>
        <v/>
      </c>
      <c r="M284" s="22">
        <f>IF(I284="Yes", J284-H284, "")</f>
        <v/>
      </c>
      <c r="N284" s="22">
        <f>IF(I284="Yes", J284-B284, "")</f>
        <v/>
      </c>
    </row>
    <row r="285">
      <c r="A285" s="20" t="inlineStr">
        <is>
          <t>LD-1530</t>
        </is>
      </c>
      <c r="B285" s="16" t="n">
        <v>46151</v>
      </c>
      <c r="C285" s="32" t="inlineStr">
        <is>
          <t>Sovereign Inc</t>
        </is>
      </c>
      <c r="D285" s="32" t="inlineStr">
        <is>
          <t>info@sovereigninc.com</t>
        </is>
      </c>
      <c r="E285" s="20" t="inlineStr">
        <is>
          <t>Google</t>
        </is>
      </c>
      <c r="F285" s="20" t="inlineStr">
        <is>
          <t>Mid-Market</t>
        </is>
      </c>
      <c r="G285" s="20" t="inlineStr">
        <is>
          <t>Yes</t>
        </is>
      </c>
      <c r="H285" s="16" t="n">
        <v>46158</v>
      </c>
      <c r="I285" s="20" t="inlineStr">
        <is>
          <t>No</t>
        </is>
      </c>
      <c r="J285" s="16" t="n"/>
      <c r="K285" s="19" t="n">
        <v/>
      </c>
      <c r="L285" s="17">
        <f>IF(G285="Yes", H285-B285, "")</f>
        <v/>
      </c>
      <c r="M285" s="17">
        <f>IF(I285="Yes", J285-H285, "")</f>
        <v/>
      </c>
      <c r="N285" s="17">
        <f>IF(I285="Yes", J285-B285, "")</f>
        <v/>
      </c>
    </row>
    <row r="286">
      <c r="A286" s="25" t="inlineStr">
        <is>
          <t>LD-1485</t>
        </is>
      </c>
      <c r="B286" s="21" t="n">
        <v>46118</v>
      </c>
      <c r="C286" s="31" t="inlineStr">
        <is>
          <t>Vortex Technologies</t>
        </is>
      </c>
      <c r="D286" s="31" t="inlineStr">
        <is>
          <t>info@vortextechnologies.com</t>
        </is>
      </c>
      <c r="E286" s="25" t="inlineStr">
        <is>
          <t>LinkedIn</t>
        </is>
      </c>
      <c r="F286" s="25" t="inlineStr">
        <is>
          <t>Enterprise</t>
        </is>
      </c>
      <c r="G286" s="25" t="inlineStr">
        <is>
          <t>Yes</t>
        </is>
      </c>
      <c r="H286" s="21" t="n">
        <v>46122</v>
      </c>
      <c r="I286" s="25" t="inlineStr">
        <is>
          <t>No</t>
        </is>
      </c>
      <c r="J286" s="21" t="n"/>
      <c r="K286" s="24" t="n">
        <v/>
      </c>
      <c r="L286" s="22">
        <f>IF(G286="Yes", H286-B286, "")</f>
        <v/>
      </c>
      <c r="M286" s="22">
        <f>IF(I286="Yes", J286-H286, "")</f>
        <v/>
      </c>
      <c r="N286" s="22">
        <f>IF(I286="Yes", J286-B286, "")</f>
        <v/>
      </c>
    </row>
    <row r="287">
      <c r="A287" s="20" t="inlineStr">
        <is>
          <t>LD-1167</t>
        </is>
      </c>
      <c r="B287" s="16" t="n">
        <v>46152</v>
      </c>
      <c r="C287" s="32" t="inlineStr">
        <is>
          <t>Summit Group</t>
        </is>
      </c>
      <c r="D287" s="32" t="inlineStr">
        <is>
          <t>info@summitgroup.com</t>
        </is>
      </c>
      <c r="E287" s="20" t="inlineStr">
        <is>
          <t>Google</t>
        </is>
      </c>
      <c r="F287" s="20" t="inlineStr">
        <is>
          <t>SMB</t>
        </is>
      </c>
      <c r="G287" s="20" t="inlineStr">
        <is>
          <t>Yes</t>
        </is>
      </c>
      <c r="H287" s="16" t="n">
        <v>46157</v>
      </c>
      <c r="I287" s="20" t="inlineStr">
        <is>
          <t>Yes</t>
        </is>
      </c>
      <c r="J287" s="16" t="n">
        <v>46172</v>
      </c>
      <c r="K287" s="19" t="n">
        <v>281</v>
      </c>
      <c r="L287" s="17">
        <f>IF(G287="Yes", H287-B287, "")</f>
        <v/>
      </c>
      <c r="M287" s="17">
        <f>IF(I287="Yes", J287-H287, "")</f>
        <v/>
      </c>
      <c r="N287" s="17">
        <f>IF(I287="Yes", J287-B287, "")</f>
        <v/>
      </c>
    </row>
    <row r="288">
      <c r="A288" s="25" t="inlineStr">
        <is>
          <t>LD-1371</t>
        </is>
      </c>
      <c r="B288" s="21" t="n">
        <v>46139</v>
      </c>
      <c r="C288" s="31" t="inlineStr">
        <is>
          <t>Sovereign LLC</t>
        </is>
      </c>
      <c r="D288" s="31" t="inlineStr">
        <is>
          <t>info@sovereignllc.com</t>
        </is>
      </c>
      <c r="E288" s="25" t="inlineStr">
        <is>
          <t>Cold Outreach</t>
        </is>
      </c>
      <c r="F288" s="25" t="inlineStr">
        <is>
          <t>Mid-Market</t>
        </is>
      </c>
      <c r="G288" s="25" t="inlineStr">
        <is>
          <t>No</t>
        </is>
      </c>
      <c r="H288" s="21" t="n"/>
      <c r="I288" s="25" t="inlineStr">
        <is>
          <t>No</t>
        </is>
      </c>
      <c r="J288" s="21" t="n"/>
      <c r="K288" s="24" t="n">
        <v/>
      </c>
      <c r="L288" s="22">
        <f>IF(G288="Yes", H288-B288, "")</f>
        <v/>
      </c>
      <c r="M288" s="22">
        <f>IF(I288="Yes", J288-H288, "")</f>
        <v/>
      </c>
      <c r="N288" s="22">
        <f>IF(I288="Yes", J288-B288, "")</f>
        <v/>
      </c>
    </row>
    <row r="289">
      <c r="A289" s="20" t="inlineStr">
        <is>
          <t>LD-1349</t>
        </is>
      </c>
      <c r="B289" s="16" t="n">
        <v>46088</v>
      </c>
      <c r="C289" s="32" t="inlineStr">
        <is>
          <t>Helix Partners</t>
        </is>
      </c>
      <c r="D289" s="32" t="inlineStr">
        <is>
          <t>info@helixpartners.com</t>
        </is>
      </c>
      <c r="E289" s="20" t="inlineStr">
        <is>
          <t>Referral</t>
        </is>
      </c>
      <c r="F289" s="20" t="inlineStr">
        <is>
          <t>Enterprise</t>
        </is>
      </c>
      <c r="G289" s="20" t="inlineStr">
        <is>
          <t>Yes</t>
        </is>
      </c>
      <c r="H289" s="16" t="n">
        <v>46089</v>
      </c>
      <c r="I289" s="20" t="inlineStr">
        <is>
          <t>No</t>
        </is>
      </c>
      <c r="J289" s="16" t="n"/>
      <c r="K289" s="19" t="n">
        <v/>
      </c>
      <c r="L289" s="17">
        <f>IF(G289="Yes", H289-B289, "")</f>
        <v/>
      </c>
      <c r="M289" s="17">
        <f>IF(I289="Yes", J289-H289, "")</f>
        <v/>
      </c>
      <c r="N289" s="17">
        <f>IF(I289="Yes", J289-B289, "")</f>
        <v/>
      </c>
    </row>
    <row r="290">
      <c r="A290" s="25" t="inlineStr">
        <is>
          <t>LD-1472</t>
        </is>
      </c>
      <c r="B290" s="21" t="n">
        <v>46134</v>
      </c>
      <c r="C290" s="31" t="inlineStr">
        <is>
          <t>Helix Co</t>
        </is>
      </c>
      <c r="D290" s="31" t="inlineStr">
        <is>
          <t>info@helixco.com</t>
        </is>
      </c>
      <c r="E290" s="25" t="inlineStr">
        <is>
          <t>LinkedIn</t>
        </is>
      </c>
      <c r="F290" s="25" t="inlineStr">
        <is>
          <t>Mid-Market</t>
        </is>
      </c>
      <c r="G290" s="25" t="inlineStr">
        <is>
          <t>No</t>
        </is>
      </c>
      <c r="H290" s="21" t="n"/>
      <c r="I290" s="25" t="inlineStr">
        <is>
          <t>No</t>
        </is>
      </c>
      <c r="J290" s="21" t="n"/>
      <c r="K290" s="24" t="n">
        <v/>
      </c>
      <c r="L290" s="22">
        <f>IF(G290="Yes", H290-B290, "")</f>
        <v/>
      </c>
      <c r="M290" s="22">
        <f>IF(I290="Yes", J290-H290, "")</f>
        <v/>
      </c>
      <c r="N290" s="22">
        <f>IF(I290="Yes", J290-B290, "")</f>
        <v/>
      </c>
    </row>
    <row r="291">
      <c r="A291" s="20" t="inlineStr">
        <is>
          <t>LD-1397</t>
        </is>
      </c>
      <c r="B291" s="16" t="n">
        <v>46164</v>
      </c>
      <c r="C291" s="32" t="inlineStr">
        <is>
          <t>Flux Group</t>
        </is>
      </c>
      <c r="D291" s="32" t="inlineStr">
        <is>
          <t>info@fluxgroup.com</t>
        </is>
      </c>
      <c r="E291" s="20" t="inlineStr">
        <is>
          <t>Referral</t>
        </is>
      </c>
      <c r="F291" s="20" t="inlineStr">
        <is>
          <t>Mid-Market</t>
        </is>
      </c>
      <c r="G291" s="20" t="inlineStr">
        <is>
          <t>Yes</t>
        </is>
      </c>
      <c r="H291" s="16" t="n">
        <v>46169</v>
      </c>
      <c r="I291" s="20" t="inlineStr">
        <is>
          <t>No</t>
        </is>
      </c>
      <c r="J291" s="16" t="n"/>
      <c r="K291" s="19" t="n">
        <v/>
      </c>
      <c r="L291" s="17">
        <f>IF(G291="Yes", H291-B291, "")</f>
        <v/>
      </c>
      <c r="M291" s="17">
        <f>IF(I291="Yes", J291-H291, "")</f>
        <v/>
      </c>
      <c r="N291" s="17">
        <f>IF(I291="Yes", J291-B291, "")</f>
        <v/>
      </c>
    </row>
    <row r="292">
      <c r="A292" s="25" t="inlineStr">
        <is>
          <t>LD-1538</t>
        </is>
      </c>
      <c r="B292" s="21" t="n">
        <v>46158</v>
      </c>
      <c r="C292" s="31" t="inlineStr">
        <is>
          <t>Omega Co</t>
        </is>
      </c>
      <c r="D292" s="31" t="inlineStr">
        <is>
          <t>info@omegaco.com</t>
        </is>
      </c>
      <c r="E292" s="25" t="inlineStr">
        <is>
          <t>Google</t>
        </is>
      </c>
      <c r="F292" s="25" t="inlineStr">
        <is>
          <t>SMB</t>
        </is>
      </c>
      <c r="G292" s="25" t="inlineStr">
        <is>
          <t>No</t>
        </is>
      </c>
      <c r="H292" s="21" t="n"/>
      <c r="I292" s="25" t="inlineStr">
        <is>
          <t>No</t>
        </is>
      </c>
      <c r="J292" s="21" t="n"/>
      <c r="K292" s="24" t="n">
        <v/>
      </c>
      <c r="L292" s="22">
        <f>IF(G292="Yes", H292-B292, "")</f>
        <v/>
      </c>
      <c r="M292" s="22">
        <f>IF(I292="Yes", J292-H292, "")</f>
        <v/>
      </c>
      <c r="N292" s="22">
        <f>IF(I292="Yes", J292-B292, "")</f>
        <v/>
      </c>
    </row>
    <row r="293">
      <c r="A293" s="20" t="inlineStr">
        <is>
          <t>LD-1506</t>
        </is>
      </c>
      <c r="B293" s="16" t="n">
        <v>46102</v>
      </c>
      <c r="C293" s="32" t="inlineStr">
        <is>
          <t>Apex LLC</t>
        </is>
      </c>
      <c r="D293" s="32" t="inlineStr">
        <is>
          <t>info@apexllc.com</t>
        </is>
      </c>
      <c r="E293" s="20" t="inlineStr">
        <is>
          <t>Referral</t>
        </is>
      </c>
      <c r="F293" s="20" t="inlineStr">
        <is>
          <t>Mid-Market</t>
        </is>
      </c>
      <c r="G293" s="20" t="inlineStr">
        <is>
          <t>Yes</t>
        </is>
      </c>
      <c r="H293" s="16" t="n">
        <v>46104</v>
      </c>
      <c r="I293" s="20" t="inlineStr">
        <is>
          <t>Yes</t>
        </is>
      </c>
      <c r="J293" s="16" t="n">
        <v>46117</v>
      </c>
      <c r="K293" s="19" t="n">
        <v>1009</v>
      </c>
      <c r="L293" s="17">
        <f>IF(G293="Yes", H293-B293, "")</f>
        <v/>
      </c>
      <c r="M293" s="17">
        <f>IF(I293="Yes", J293-H293, "")</f>
        <v/>
      </c>
      <c r="N293" s="17">
        <f>IF(I293="Yes", J293-B293, "")</f>
        <v/>
      </c>
    </row>
    <row r="294">
      <c r="A294" s="25" t="inlineStr">
        <is>
          <t>LD-1407</t>
        </is>
      </c>
      <c r="B294" s="21" t="n">
        <v>46111</v>
      </c>
      <c r="C294" s="31" t="inlineStr">
        <is>
          <t>Core Corp</t>
        </is>
      </c>
      <c r="D294" s="31" t="inlineStr">
        <is>
          <t>info@corecorp.com</t>
        </is>
      </c>
      <c r="E294" s="25" t="inlineStr">
        <is>
          <t>LinkedIn</t>
        </is>
      </c>
      <c r="F294" s="25" t="inlineStr">
        <is>
          <t>Enterprise</t>
        </is>
      </c>
      <c r="G294" s="25" t="inlineStr">
        <is>
          <t>Yes</t>
        </is>
      </c>
      <c r="H294" s="21" t="n">
        <v>46118</v>
      </c>
      <c r="I294" s="25" t="inlineStr">
        <is>
          <t>Yes</t>
        </is>
      </c>
      <c r="J294" s="21" t="n">
        <v>46124</v>
      </c>
      <c r="K294" s="24" t="n">
        <v>4047</v>
      </c>
      <c r="L294" s="22">
        <f>IF(G294="Yes", H294-B294, "")</f>
        <v/>
      </c>
      <c r="M294" s="22">
        <f>IF(I294="Yes", J294-H294, "")</f>
        <v/>
      </c>
      <c r="N294" s="22">
        <f>IF(I294="Yes", J294-B294, "")</f>
        <v/>
      </c>
    </row>
    <row r="295">
      <c r="A295" s="20" t="inlineStr">
        <is>
          <t>LD-1059</t>
        </is>
      </c>
      <c r="B295" s="16" t="n">
        <v>46107</v>
      </c>
      <c r="C295" s="32" t="inlineStr">
        <is>
          <t>Synergy Corp</t>
        </is>
      </c>
      <c r="D295" s="32" t="inlineStr">
        <is>
          <t>info@synergycorp.com</t>
        </is>
      </c>
      <c r="E295" s="20" t="inlineStr">
        <is>
          <t>Webinar</t>
        </is>
      </c>
      <c r="F295" s="20" t="inlineStr">
        <is>
          <t>Enterprise</t>
        </is>
      </c>
      <c r="G295" s="20" t="inlineStr">
        <is>
          <t>No</t>
        </is>
      </c>
      <c r="H295" s="16" t="n"/>
      <c r="I295" s="20" t="inlineStr">
        <is>
          <t>No</t>
        </is>
      </c>
      <c r="J295" s="16" t="n"/>
      <c r="K295" s="19" t="n">
        <v/>
      </c>
      <c r="L295" s="17">
        <f>IF(G295="Yes", H295-B295, "")</f>
        <v/>
      </c>
      <c r="M295" s="17">
        <f>IF(I295="Yes", J295-H295, "")</f>
        <v/>
      </c>
      <c r="N295" s="17">
        <f>IF(I295="Yes", J295-B295, "")</f>
        <v/>
      </c>
    </row>
    <row r="296">
      <c r="A296" s="25" t="inlineStr">
        <is>
          <t>LD-1386</t>
        </is>
      </c>
      <c r="B296" s="21" t="n">
        <v>46087</v>
      </c>
      <c r="C296" s="31" t="inlineStr">
        <is>
          <t>Quantum Co</t>
        </is>
      </c>
      <c r="D296" s="31" t="inlineStr">
        <is>
          <t>info@quantumco.com</t>
        </is>
      </c>
      <c r="E296" s="25" t="inlineStr">
        <is>
          <t>Google</t>
        </is>
      </c>
      <c r="F296" s="25" t="inlineStr">
        <is>
          <t>Enterprise</t>
        </is>
      </c>
      <c r="G296" s="25" t="inlineStr">
        <is>
          <t>Yes</t>
        </is>
      </c>
      <c r="H296" s="21" t="n">
        <v>46089</v>
      </c>
      <c r="I296" s="25" t="inlineStr">
        <is>
          <t>Yes</t>
        </is>
      </c>
      <c r="J296" s="21" t="n">
        <v>46100</v>
      </c>
      <c r="K296" s="24" t="n">
        <v>6475</v>
      </c>
      <c r="L296" s="22">
        <f>IF(G296="Yes", H296-B296, "")</f>
        <v/>
      </c>
      <c r="M296" s="22">
        <f>IF(I296="Yes", J296-H296, "")</f>
        <v/>
      </c>
      <c r="N296" s="22">
        <f>IF(I296="Yes", J296-B296, "")</f>
        <v/>
      </c>
    </row>
    <row r="297">
      <c r="A297" s="20" t="inlineStr">
        <is>
          <t>LD-1334</t>
        </is>
      </c>
      <c r="B297" s="16" t="n">
        <v>46148</v>
      </c>
      <c r="C297" s="32" t="inlineStr">
        <is>
          <t>Omega Corp</t>
        </is>
      </c>
      <c r="D297" s="32" t="inlineStr">
        <is>
          <t>info@omegacorp.com</t>
        </is>
      </c>
      <c r="E297" s="20" t="inlineStr">
        <is>
          <t>LinkedIn</t>
        </is>
      </c>
      <c r="F297" s="20" t="inlineStr">
        <is>
          <t>Enterprise</t>
        </is>
      </c>
      <c r="G297" s="20" t="inlineStr">
        <is>
          <t>Yes</t>
        </is>
      </c>
      <c r="H297" s="16" t="n">
        <v>46158</v>
      </c>
      <c r="I297" s="20" t="inlineStr">
        <is>
          <t>Yes</t>
        </is>
      </c>
      <c r="J297" s="16" t="n">
        <v>46166</v>
      </c>
      <c r="K297" s="19" t="n">
        <v>6946</v>
      </c>
      <c r="L297" s="17">
        <f>IF(G297="Yes", H297-B297, "")</f>
        <v/>
      </c>
      <c r="M297" s="17">
        <f>IF(I297="Yes", J297-H297, "")</f>
        <v/>
      </c>
      <c r="N297" s="17">
        <f>IF(I297="Yes", J297-B297, "")</f>
        <v/>
      </c>
    </row>
    <row r="298">
      <c r="A298" s="25" t="inlineStr">
        <is>
          <t>LD-1088</t>
        </is>
      </c>
      <c r="B298" s="21" t="n">
        <v>46130</v>
      </c>
      <c r="C298" s="31" t="inlineStr">
        <is>
          <t>Core Solutions</t>
        </is>
      </c>
      <c r="D298" s="31" t="inlineStr">
        <is>
          <t>info@coresolutions.com</t>
        </is>
      </c>
      <c r="E298" s="25" t="inlineStr">
        <is>
          <t>Referral</t>
        </is>
      </c>
      <c r="F298" s="25" t="inlineStr">
        <is>
          <t>SMB</t>
        </is>
      </c>
      <c r="G298" s="25" t="inlineStr">
        <is>
          <t>No</t>
        </is>
      </c>
      <c r="H298" s="21" t="n"/>
      <c r="I298" s="25" t="inlineStr">
        <is>
          <t>No</t>
        </is>
      </c>
      <c r="J298" s="21" t="n"/>
      <c r="K298" s="24" t="n">
        <v/>
      </c>
      <c r="L298" s="22">
        <f>IF(G298="Yes", H298-B298, "")</f>
        <v/>
      </c>
      <c r="M298" s="22">
        <f>IF(I298="Yes", J298-H298, "")</f>
        <v/>
      </c>
      <c r="N298" s="22">
        <f>IF(I298="Yes", J298-B298, "")</f>
        <v/>
      </c>
    </row>
    <row r="299">
      <c r="A299" s="20" t="inlineStr">
        <is>
          <t>LD-1234</t>
        </is>
      </c>
      <c r="B299" s="16" t="n">
        <v>46147</v>
      </c>
      <c r="C299" s="32" t="inlineStr">
        <is>
          <t>Acme Corp</t>
        </is>
      </c>
      <c r="D299" s="32" t="inlineStr">
        <is>
          <t>info@acmecorp.com</t>
        </is>
      </c>
      <c r="E299" s="20" t="inlineStr">
        <is>
          <t>Cold Outreach</t>
        </is>
      </c>
      <c r="F299" s="20" t="inlineStr">
        <is>
          <t>Mid-Market</t>
        </is>
      </c>
      <c r="G299" s="20" t="inlineStr">
        <is>
          <t>No</t>
        </is>
      </c>
      <c r="H299" s="16" t="n"/>
      <c r="I299" s="20" t="inlineStr">
        <is>
          <t>No</t>
        </is>
      </c>
      <c r="J299" s="16" t="n"/>
      <c r="K299" s="19" t="n">
        <v/>
      </c>
      <c r="L299" s="17">
        <f>IF(G299="Yes", H299-B299, "")</f>
        <v/>
      </c>
      <c r="M299" s="17">
        <f>IF(I299="Yes", J299-H299, "")</f>
        <v/>
      </c>
      <c r="N299" s="17">
        <f>IF(I299="Yes", J299-B299, "")</f>
        <v/>
      </c>
    </row>
    <row r="300">
      <c r="A300" s="25" t="inlineStr">
        <is>
          <t>LD-1050</t>
        </is>
      </c>
      <c r="B300" s="21" t="n">
        <v>46151</v>
      </c>
      <c r="C300" s="31" t="inlineStr">
        <is>
          <t>Sovereign Solutions</t>
        </is>
      </c>
      <c r="D300" s="31" t="inlineStr">
        <is>
          <t>info@sovereignsolutions.com</t>
        </is>
      </c>
      <c r="E300" s="25" t="inlineStr">
        <is>
          <t>LinkedIn</t>
        </is>
      </c>
      <c r="F300" s="25" t="inlineStr">
        <is>
          <t>SMB</t>
        </is>
      </c>
      <c r="G300" s="25" t="inlineStr">
        <is>
          <t>Yes</t>
        </is>
      </c>
      <c r="H300" s="21" t="n">
        <v>46157</v>
      </c>
      <c r="I300" s="25" t="inlineStr">
        <is>
          <t>No</t>
        </is>
      </c>
      <c r="J300" s="21" t="n"/>
      <c r="K300" s="24" t="n">
        <v/>
      </c>
      <c r="L300" s="22">
        <f>IF(G300="Yes", H300-B300, "")</f>
        <v/>
      </c>
      <c r="M300" s="22">
        <f>IF(I300="Yes", J300-H300, "")</f>
        <v/>
      </c>
      <c r="N300" s="22">
        <f>IF(I300="Yes", J300-B300, "")</f>
        <v/>
      </c>
    </row>
    <row r="301">
      <c r="A301" s="20" t="inlineStr">
        <is>
          <t>LD-1431</t>
        </is>
      </c>
      <c r="B301" s="16" t="n">
        <v>46160</v>
      </c>
      <c r="C301" s="32" t="inlineStr">
        <is>
          <t>Pulse Inc</t>
        </is>
      </c>
      <c r="D301" s="32" t="inlineStr">
        <is>
          <t>info@pulseinc.com</t>
        </is>
      </c>
      <c r="E301" s="20" t="inlineStr">
        <is>
          <t>LinkedIn</t>
        </is>
      </c>
      <c r="F301" s="20" t="inlineStr">
        <is>
          <t>Mid-Market</t>
        </is>
      </c>
      <c r="G301" s="20" t="inlineStr">
        <is>
          <t>No</t>
        </is>
      </c>
      <c r="H301" s="16" t="n"/>
      <c r="I301" s="20" t="inlineStr">
        <is>
          <t>No</t>
        </is>
      </c>
      <c r="J301" s="16" t="n"/>
      <c r="K301" s="19" t="n">
        <v/>
      </c>
      <c r="L301" s="17">
        <f>IF(G301="Yes", H301-B301, "")</f>
        <v/>
      </c>
      <c r="M301" s="17">
        <f>IF(I301="Yes", J301-H301, "")</f>
        <v/>
      </c>
      <c r="N301" s="17">
        <f>IF(I301="Yes", J301-B301, "")</f>
        <v/>
      </c>
    </row>
    <row r="302">
      <c r="A302" s="25" t="inlineStr">
        <is>
          <t>LD-1026</t>
        </is>
      </c>
      <c r="B302" s="21" t="n">
        <v>46089</v>
      </c>
      <c r="C302" s="31" t="inlineStr">
        <is>
          <t>Apex Inc</t>
        </is>
      </c>
      <c r="D302" s="31" t="inlineStr">
        <is>
          <t>info@apexinc.com</t>
        </is>
      </c>
      <c r="E302" s="25" t="inlineStr">
        <is>
          <t>Cold Outreach</t>
        </is>
      </c>
      <c r="F302" s="25" t="inlineStr">
        <is>
          <t>SMB</t>
        </is>
      </c>
      <c r="G302" s="25" t="inlineStr">
        <is>
          <t>Yes</t>
        </is>
      </c>
      <c r="H302" s="21" t="n">
        <v>46098</v>
      </c>
      <c r="I302" s="25" t="inlineStr">
        <is>
          <t>Yes</t>
        </is>
      </c>
      <c r="J302" s="21" t="n">
        <v>46108</v>
      </c>
      <c r="K302" s="24" t="n">
        <v>117</v>
      </c>
      <c r="L302" s="22">
        <f>IF(G302="Yes", H302-B302, "")</f>
        <v/>
      </c>
      <c r="M302" s="22">
        <f>IF(I302="Yes", J302-H302, "")</f>
        <v/>
      </c>
      <c r="N302" s="22">
        <f>IF(I302="Yes", J302-B302, "")</f>
        <v/>
      </c>
    </row>
    <row r="303">
      <c r="A303" s="20" t="inlineStr">
        <is>
          <t>LD-1089</t>
        </is>
      </c>
      <c r="B303" s="16" t="n">
        <v>46134</v>
      </c>
      <c r="C303" s="32" t="inlineStr">
        <is>
          <t>Zenith LLC</t>
        </is>
      </c>
      <c r="D303" s="32" t="inlineStr">
        <is>
          <t>info@zenithllc.com</t>
        </is>
      </c>
      <c r="E303" s="20" t="inlineStr">
        <is>
          <t>Webinar</t>
        </is>
      </c>
      <c r="F303" s="20" t="inlineStr">
        <is>
          <t>SMB</t>
        </is>
      </c>
      <c r="G303" s="20" t="inlineStr">
        <is>
          <t>Yes</t>
        </is>
      </c>
      <c r="H303" s="16" t="n">
        <v>46135</v>
      </c>
      <c r="I303" s="20" t="inlineStr">
        <is>
          <t>Yes</t>
        </is>
      </c>
      <c r="J303" s="16" t="n">
        <v>46150</v>
      </c>
      <c r="K303" s="19" t="n">
        <v>125</v>
      </c>
      <c r="L303" s="17">
        <f>IF(G303="Yes", H303-B303, "")</f>
        <v/>
      </c>
      <c r="M303" s="17">
        <f>IF(I303="Yes", J303-H303, "")</f>
        <v/>
      </c>
      <c r="N303" s="17">
        <f>IF(I303="Yes", J303-B303, "")</f>
        <v/>
      </c>
    </row>
    <row r="304">
      <c r="A304" s="25" t="inlineStr">
        <is>
          <t>LD-1008</t>
        </is>
      </c>
      <c r="B304" s="21" t="n">
        <v>46163</v>
      </c>
      <c r="C304" s="31" t="inlineStr">
        <is>
          <t>Synergy Co</t>
        </is>
      </c>
      <c r="D304" s="31" t="inlineStr">
        <is>
          <t>info@synergyco.com</t>
        </is>
      </c>
      <c r="E304" s="25" t="inlineStr">
        <is>
          <t>LinkedIn</t>
        </is>
      </c>
      <c r="F304" s="25" t="inlineStr">
        <is>
          <t>SMB</t>
        </is>
      </c>
      <c r="G304" s="25" t="inlineStr">
        <is>
          <t>No</t>
        </is>
      </c>
      <c r="H304" s="21" t="n"/>
      <c r="I304" s="25" t="inlineStr">
        <is>
          <t>No</t>
        </is>
      </c>
      <c r="J304" s="21" t="n"/>
      <c r="K304" s="24" t="n">
        <v/>
      </c>
      <c r="L304" s="22">
        <f>IF(G304="Yes", H304-B304, "")</f>
        <v/>
      </c>
      <c r="M304" s="22">
        <f>IF(I304="Yes", J304-H304, "")</f>
        <v/>
      </c>
      <c r="N304" s="22">
        <f>IF(I304="Yes", J304-B304, "")</f>
        <v/>
      </c>
    </row>
    <row r="305">
      <c r="A305" s="20" t="inlineStr">
        <is>
          <t>LD-1496</t>
        </is>
      </c>
      <c r="B305" s="16" t="n">
        <v>46160</v>
      </c>
      <c r="C305" s="32" t="inlineStr">
        <is>
          <t>Bold Solutions</t>
        </is>
      </c>
      <c r="D305" s="32" t="inlineStr">
        <is>
          <t>info@boldsolutions.com</t>
        </is>
      </c>
      <c r="E305" s="20" t="inlineStr">
        <is>
          <t>Google</t>
        </is>
      </c>
      <c r="F305" s="20" t="inlineStr">
        <is>
          <t>Mid-Market</t>
        </is>
      </c>
      <c r="G305" s="20" t="inlineStr">
        <is>
          <t>Yes</t>
        </is>
      </c>
      <c r="H305" s="16" t="n">
        <v>46168</v>
      </c>
      <c r="I305" s="20" t="inlineStr">
        <is>
          <t>Yes</t>
        </is>
      </c>
      <c r="J305" s="16" t="n">
        <v>46188</v>
      </c>
      <c r="K305" s="19" t="n">
        <v>1000</v>
      </c>
      <c r="L305" s="17">
        <f>IF(G305="Yes", H305-B305, "")</f>
        <v/>
      </c>
      <c r="M305" s="17">
        <f>IF(I305="Yes", J305-H305, "")</f>
        <v/>
      </c>
      <c r="N305" s="17">
        <f>IF(I305="Yes", J305-B305, "")</f>
        <v/>
      </c>
    </row>
    <row r="306">
      <c r="A306" s="25" t="inlineStr">
        <is>
          <t>LD-1125</t>
        </is>
      </c>
      <c r="B306" s="21" t="n">
        <v>46119</v>
      </c>
      <c r="C306" s="31" t="inlineStr">
        <is>
          <t>Acme Partners</t>
        </is>
      </c>
      <c r="D306" s="31" t="inlineStr">
        <is>
          <t>info@acmepartners.com</t>
        </is>
      </c>
      <c r="E306" s="25" t="inlineStr">
        <is>
          <t>Referral</t>
        </is>
      </c>
      <c r="F306" s="25" t="inlineStr">
        <is>
          <t>Enterprise</t>
        </is>
      </c>
      <c r="G306" s="25" t="inlineStr">
        <is>
          <t>No</t>
        </is>
      </c>
      <c r="H306" s="21" t="n"/>
      <c r="I306" s="25" t="inlineStr">
        <is>
          <t>No</t>
        </is>
      </c>
      <c r="J306" s="21" t="n"/>
      <c r="K306" s="24" t="n">
        <v/>
      </c>
      <c r="L306" s="22">
        <f>IF(G306="Yes", H306-B306, "")</f>
        <v/>
      </c>
      <c r="M306" s="22">
        <f>IF(I306="Yes", J306-H306, "")</f>
        <v/>
      </c>
      <c r="N306" s="22">
        <f>IF(I306="Yes", J306-B306, "")</f>
        <v/>
      </c>
    </row>
    <row r="307">
      <c r="A307" s="20" t="inlineStr">
        <is>
          <t>LD-1024</t>
        </is>
      </c>
      <c r="B307" s="16" t="n">
        <v>46103</v>
      </c>
      <c r="C307" s="32" t="inlineStr">
        <is>
          <t>Omega Technologies</t>
        </is>
      </c>
      <c r="D307" s="32" t="inlineStr">
        <is>
          <t>info@omegatechnologies.com</t>
        </is>
      </c>
      <c r="E307" s="20" t="inlineStr">
        <is>
          <t>LinkedIn</t>
        </is>
      </c>
      <c r="F307" s="20" t="inlineStr">
        <is>
          <t>Mid-Market</t>
        </is>
      </c>
      <c r="G307" s="20" t="inlineStr">
        <is>
          <t>No</t>
        </is>
      </c>
      <c r="H307" s="16" t="n"/>
      <c r="I307" s="20" t="inlineStr">
        <is>
          <t>No</t>
        </is>
      </c>
      <c r="J307" s="16" t="n"/>
      <c r="K307" s="19" t="n">
        <v/>
      </c>
      <c r="L307" s="17">
        <f>IF(G307="Yes", H307-B307, "")</f>
        <v/>
      </c>
      <c r="M307" s="17">
        <f>IF(I307="Yes", J307-H307, "")</f>
        <v/>
      </c>
      <c r="N307" s="17">
        <f>IF(I307="Yes", J307-B307, "")</f>
        <v/>
      </c>
    </row>
    <row r="308">
      <c r="A308" s="25" t="inlineStr">
        <is>
          <t>LD-1242</t>
        </is>
      </c>
      <c r="B308" s="21" t="n">
        <v>46130</v>
      </c>
      <c r="C308" s="31" t="inlineStr">
        <is>
          <t>Bold Partners</t>
        </is>
      </c>
      <c r="D308" s="31" t="inlineStr">
        <is>
          <t>info@boldpartners.com</t>
        </is>
      </c>
      <c r="E308" s="25" t="inlineStr">
        <is>
          <t>Organic / Direct</t>
        </is>
      </c>
      <c r="F308" s="25" t="inlineStr">
        <is>
          <t>Mid-Market</t>
        </is>
      </c>
      <c r="G308" s="25" t="inlineStr">
        <is>
          <t>Yes</t>
        </is>
      </c>
      <c r="H308" s="21" t="n">
        <v>46136</v>
      </c>
      <c r="I308" s="25" t="inlineStr">
        <is>
          <t>No</t>
        </is>
      </c>
      <c r="J308" s="21" t="n"/>
      <c r="K308" s="24" t="n">
        <v/>
      </c>
      <c r="L308" s="22">
        <f>IF(G308="Yes", H308-B308, "")</f>
        <v/>
      </c>
      <c r="M308" s="22">
        <f>IF(I308="Yes", J308-H308, "")</f>
        <v/>
      </c>
      <c r="N308" s="22">
        <f>IF(I308="Yes", J308-B308, "")</f>
        <v/>
      </c>
    </row>
    <row r="309">
      <c r="A309" s="20" t="inlineStr">
        <is>
          <t>LD-1408</t>
        </is>
      </c>
      <c r="B309" s="16" t="n">
        <v>46155</v>
      </c>
      <c r="C309" s="32" t="inlineStr">
        <is>
          <t>Sovereign Global</t>
        </is>
      </c>
      <c r="D309" s="32" t="inlineStr">
        <is>
          <t>info@sovereignglobal.com</t>
        </is>
      </c>
      <c r="E309" s="20" t="inlineStr">
        <is>
          <t>Google</t>
        </is>
      </c>
      <c r="F309" s="20" t="inlineStr">
        <is>
          <t>SMB</t>
        </is>
      </c>
      <c r="G309" s="20" t="inlineStr">
        <is>
          <t>Yes</t>
        </is>
      </c>
      <c r="H309" s="16" t="n">
        <v>46158</v>
      </c>
      <c r="I309" s="20" t="inlineStr">
        <is>
          <t>No</t>
        </is>
      </c>
      <c r="J309" s="16" t="n"/>
      <c r="K309" s="19" t="n">
        <v/>
      </c>
      <c r="L309" s="17">
        <f>IF(G309="Yes", H309-B309, "")</f>
        <v/>
      </c>
      <c r="M309" s="17">
        <f>IF(I309="Yes", J309-H309, "")</f>
        <v/>
      </c>
      <c r="N309" s="17">
        <f>IF(I309="Yes", J309-B309, "")</f>
        <v/>
      </c>
    </row>
    <row r="310">
      <c r="A310" s="25" t="inlineStr">
        <is>
          <t>LD-1336</t>
        </is>
      </c>
      <c r="B310" s="21" t="n">
        <v>46112</v>
      </c>
      <c r="C310" s="31" t="inlineStr">
        <is>
          <t>Core Group</t>
        </is>
      </c>
      <c r="D310" s="31" t="inlineStr">
        <is>
          <t>info@coregroup.com</t>
        </is>
      </c>
      <c r="E310" s="25" t="inlineStr">
        <is>
          <t>LinkedIn</t>
        </is>
      </c>
      <c r="F310" s="25" t="inlineStr">
        <is>
          <t>Mid-Market</t>
        </is>
      </c>
      <c r="G310" s="25" t="inlineStr">
        <is>
          <t>No</t>
        </is>
      </c>
      <c r="H310" s="21" t="n"/>
      <c r="I310" s="25" t="inlineStr">
        <is>
          <t>No</t>
        </is>
      </c>
      <c r="J310" s="21" t="n"/>
      <c r="K310" s="24" t="n">
        <v/>
      </c>
      <c r="L310" s="22">
        <f>IF(G310="Yes", H310-B310, "")</f>
        <v/>
      </c>
      <c r="M310" s="22">
        <f>IF(I310="Yes", J310-H310, "")</f>
        <v/>
      </c>
      <c r="N310" s="22">
        <f>IF(I310="Yes", J310-B310, "")</f>
        <v/>
      </c>
    </row>
    <row r="311">
      <c r="A311" s="20" t="inlineStr">
        <is>
          <t>LD-1073</t>
        </is>
      </c>
      <c r="B311" s="16" t="n">
        <v>46136</v>
      </c>
      <c r="C311" s="32" t="inlineStr">
        <is>
          <t>Bold Inc</t>
        </is>
      </c>
      <c r="D311" s="32" t="inlineStr">
        <is>
          <t>info@boldinc.com</t>
        </is>
      </c>
      <c r="E311" s="20" t="inlineStr">
        <is>
          <t>Organic / Direct</t>
        </is>
      </c>
      <c r="F311" s="20" t="inlineStr">
        <is>
          <t>SMB</t>
        </is>
      </c>
      <c r="G311" s="20" t="inlineStr">
        <is>
          <t>Yes</t>
        </is>
      </c>
      <c r="H311" s="16" t="n">
        <v>46141</v>
      </c>
      <c r="I311" s="20" t="inlineStr">
        <is>
          <t>No</t>
        </is>
      </c>
      <c r="J311" s="16" t="n"/>
      <c r="K311" s="19" t="n">
        <v/>
      </c>
      <c r="L311" s="17">
        <f>IF(G311="Yes", H311-B311, "")</f>
        <v/>
      </c>
      <c r="M311" s="17">
        <f>IF(I311="Yes", J311-H311, "")</f>
        <v/>
      </c>
      <c r="N311" s="17">
        <f>IF(I311="Yes", J311-B311, "")</f>
        <v/>
      </c>
    </row>
    <row r="312">
      <c r="A312" s="25" t="inlineStr">
        <is>
          <t>LD-1326</t>
        </is>
      </c>
      <c r="B312" s="21" t="n">
        <v>46120</v>
      </c>
      <c r="C312" s="31" t="inlineStr">
        <is>
          <t>Zenith Corp</t>
        </is>
      </c>
      <c r="D312" s="31" t="inlineStr">
        <is>
          <t>info@zenithcorp.com</t>
        </is>
      </c>
      <c r="E312" s="25" t="inlineStr">
        <is>
          <t>LinkedIn</t>
        </is>
      </c>
      <c r="F312" s="25" t="inlineStr">
        <is>
          <t>Enterprise</t>
        </is>
      </c>
      <c r="G312" s="25" t="inlineStr">
        <is>
          <t>Yes</t>
        </is>
      </c>
      <c r="H312" s="21" t="n">
        <v>46126</v>
      </c>
      <c r="I312" s="25" t="inlineStr">
        <is>
          <t>Yes</t>
        </is>
      </c>
      <c r="J312" s="21" t="n">
        <v>46144</v>
      </c>
      <c r="K312" s="24" t="n">
        <v>7955</v>
      </c>
      <c r="L312" s="22">
        <f>IF(G312="Yes", H312-B312, "")</f>
        <v/>
      </c>
      <c r="M312" s="22">
        <f>IF(I312="Yes", J312-H312, "")</f>
        <v/>
      </c>
      <c r="N312" s="22">
        <f>IF(I312="Yes", J312-B312, "")</f>
        <v/>
      </c>
    </row>
    <row r="313">
      <c r="A313" s="20" t="inlineStr">
        <is>
          <t>LD-1414</t>
        </is>
      </c>
      <c r="B313" s="16" t="n">
        <v>46130</v>
      </c>
      <c r="C313" s="32" t="inlineStr">
        <is>
          <t>Shift Corp</t>
        </is>
      </c>
      <c r="D313" s="32" t="inlineStr">
        <is>
          <t>info@shiftcorp.com</t>
        </is>
      </c>
      <c r="E313" s="20" t="inlineStr">
        <is>
          <t>Organic / Direct</t>
        </is>
      </c>
      <c r="F313" s="20" t="inlineStr">
        <is>
          <t>SMB</t>
        </is>
      </c>
      <c r="G313" s="20" t="inlineStr">
        <is>
          <t>No</t>
        </is>
      </c>
      <c r="H313" s="16" t="n"/>
      <c r="I313" s="20" t="inlineStr">
        <is>
          <t>No</t>
        </is>
      </c>
      <c r="J313" s="16" t="n"/>
      <c r="K313" s="19" t="n">
        <v/>
      </c>
      <c r="L313" s="17">
        <f>IF(G313="Yes", H313-B313, "")</f>
        <v/>
      </c>
      <c r="M313" s="17">
        <f>IF(I313="Yes", J313-H313, "")</f>
        <v/>
      </c>
      <c r="N313" s="17">
        <f>IF(I313="Yes", J313-B313, "")</f>
        <v/>
      </c>
    </row>
    <row r="314">
      <c r="A314" s="25" t="inlineStr">
        <is>
          <t>LD-1120</t>
        </is>
      </c>
      <c r="B314" s="21" t="n">
        <v>46153</v>
      </c>
      <c r="C314" s="31" t="inlineStr">
        <is>
          <t>Pulse Inc</t>
        </is>
      </c>
      <c r="D314" s="31" t="inlineStr">
        <is>
          <t>info@pulseinc.com</t>
        </is>
      </c>
      <c r="E314" s="25" t="inlineStr">
        <is>
          <t>Organic / Direct</t>
        </is>
      </c>
      <c r="F314" s="25" t="inlineStr">
        <is>
          <t>Mid-Market</t>
        </is>
      </c>
      <c r="G314" s="25" t="inlineStr">
        <is>
          <t>Yes</t>
        </is>
      </c>
      <c r="H314" s="21" t="n">
        <v>46158</v>
      </c>
      <c r="I314" s="25" t="inlineStr">
        <is>
          <t>No</t>
        </is>
      </c>
      <c r="J314" s="21" t="n"/>
      <c r="K314" s="24" t="n">
        <v/>
      </c>
      <c r="L314" s="22">
        <f>IF(G314="Yes", H314-B314, "")</f>
        <v/>
      </c>
      <c r="M314" s="22">
        <f>IF(I314="Yes", J314-H314, "")</f>
        <v/>
      </c>
      <c r="N314" s="22">
        <f>IF(I314="Yes", J314-B314, "")</f>
        <v/>
      </c>
    </row>
    <row r="315">
      <c r="A315" s="20" t="inlineStr">
        <is>
          <t>LD-1297</t>
        </is>
      </c>
      <c r="B315" s="16" t="n">
        <v>46164</v>
      </c>
      <c r="C315" s="32" t="inlineStr">
        <is>
          <t>Sovereign Corp</t>
        </is>
      </c>
      <c r="D315" s="32" t="inlineStr">
        <is>
          <t>info@sovereigncorp.com</t>
        </is>
      </c>
      <c r="E315" s="20" t="inlineStr">
        <is>
          <t>LinkedIn</t>
        </is>
      </c>
      <c r="F315" s="20" t="inlineStr">
        <is>
          <t>SMB</t>
        </is>
      </c>
      <c r="G315" s="20" t="inlineStr">
        <is>
          <t>Yes</t>
        </is>
      </c>
      <c r="H315" s="16" t="n">
        <v>46172</v>
      </c>
      <c r="I315" s="20" t="inlineStr">
        <is>
          <t>Yes</t>
        </is>
      </c>
      <c r="J315" s="16" t="n">
        <v>46190</v>
      </c>
      <c r="K315" s="19" t="n">
        <v>285</v>
      </c>
      <c r="L315" s="17">
        <f>IF(G315="Yes", H315-B315, "")</f>
        <v/>
      </c>
      <c r="M315" s="17">
        <f>IF(I315="Yes", J315-H315, "")</f>
        <v/>
      </c>
      <c r="N315" s="17">
        <f>IF(I315="Yes", J315-B315, "")</f>
        <v/>
      </c>
    </row>
    <row r="316">
      <c r="A316" s="25" t="inlineStr">
        <is>
          <t>LD-1406</t>
        </is>
      </c>
      <c r="B316" s="21" t="n">
        <v>46082</v>
      </c>
      <c r="C316" s="31" t="inlineStr">
        <is>
          <t>Sovereign Partners</t>
        </is>
      </c>
      <c r="D316" s="31" t="inlineStr">
        <is>
          <t>info@sovereignpartners.com</t>
        </is>
      </c>
      <c r="E316" s="25" t="inlineStr">
        <is>
          <t>Webinar</t>
        </is>
      </c>
      <c r="F316" s="25" t="inlineStr">
        <is>
          <t>Mid-Market</t>
        </is>
      </c>
      <c r="G316" s="25" t="inlineStr">
        <is>
          <t>Yes</t>
        </is>
      </c>
      <c r="H316" s="21" t="n">
        <v>46085</v>
      </c>
      <c r="I316" s="25" t="inlineStr">
        <is>
          <t>Yes</t>
        </is>
      </c>
      <c r="J316" s="21" t="n">
        <v>46093</v>
      </c>
      <c r="K316" s="24" t="n">
        <v>1176</v>
      </c>
      <c r="L316" s="22">
        <f>IF(G316="Yes", H316-B316, "")</f>
        <v/>
      </c>
      <c r="M316" s="22">
        <f>IF(I316="Yes", J316-H316, "")</f>
        <v/>
      </c>
      <c r="N316" s="22">
        <f>IF(I316="Yes", J316-B316, "")</f>
        <v/>
      </c>
    </row>
    <row r="317">
      <c r="A317" s="20" t="inlineStr">
        <is>
          <t>LD-1376</t>
        </is>
      </c>
      <c r="B317" s="16" t="n">
        <v>46164</v>
      </c>
      <c r="C317" s="32" t="inlineStr">
        <is>
          <t>Synergy Global</t>
        </is>
      </c>
      <c r="D317" s="32" t="inlineStr">
        <is>
          <t>info@synergyglobal.com</t>
        </is>
      </c>
      <c r="E317" s="20" t="inlineStr">
        <is>
          <t>LinkedIn</t>
        </is>
      </c>
      <c r="F317" s="20" t="inlineStr">
        <is>
          <t>Enterprise</t>
        </is>
      </c>
      <c r="G317" s="20" t="inlineStr">
        <is>
          <t>No</t>
        </is>
      </c>
      <c r="H317" s="16" t="n"/>
      <c r="I317" s="20" t="inlineStr">
        <is>
          <t>No</t>
        </is>
      </c>
      <c r="J317" s="16" t="n"/>
      <c r="K317" s="19" t="n">
        <v/>
      </c>
      <c r="L317" s="17">
        <f>IF(G317="Yes", H317-B317, "")</f>
        <v/>
      </c>
      <c r="M317" s="17">
        <f>IF(I317="Yes", J317-H317, "")</f>
        <v/>
      </c>
      <c r="N317" s="17">
        <f>IF(I317="Yes", J317-B317, "")</f>
        <v/>
      </c>
    </row>
    <row r="318">
      <c r="A318" s="25" t="inlineStr">
        <is>
          <t>LD-1235</t>
        </is>
      </c>
      <c r="B318" s="21" t="n">
        <v>46083</v>
      </c>
      <c r="C318" s="31" t="inlineStr">
        <is>
          <t>Omega Corp</t>
        </is>
      </c>
      <c r="D318" s="31" t="inlineStr">
        <is>
          <t>info@omegacorp.com</t>
        </is>
      </c>
      <c r="E318" s="25" t="inlineStr">
        <is>
          <t>LinkedIn</t>
        </is>
      </c>
      <c r="F318" s="25" t="inlineStr">
        <is>
          <t>Enterprise</t>
        </is>
      </c>
      <c r="G318" s="25" t="inlineStr">
        <is>
          <t>Yes</t>
        </is>
      </c>
      <c r="H318" s="21" t="n">
        <v>46090</v>
      </c>
      <c r="I318" s="25" t="inlineStr">
        <is>
          <t>Yes</t>
        </is>
      </c>
      <c r="J318" s="21" t="n">
        <v>46100</v>
      </c>
      <c r="K318" s="24" t="n">
        <v>5466</v>
      </c>
      <c r="L318" s="22">
        <f>IF(G318="Yes", H318-B318, "")</f>
        <v/>
      </c>
      <c r="M318" s="22">
        <f>IF(I318="Yes", J318-H318, "")</f>
        <v/>
      </c>
      <c r="N318" s="22">
        <f>IF(I318="Yes", J318-B318, "")</f>
        <v/>
      </c>
    </row>
    <row r="319"/>
    <row r="320">
      <c r="A320" s="25" t="inlineStr">
        <is>
          <t>LD-1109</t>
        </is>
      </c>
      <c r="B320" s="21" t="n">
        <v>46151</v>
      </c>
      <c r="C320" s="31" t="inlineStr">
        <is>
          <t>Summit Corp</t>
        </is>
      </c>
      <c r="D320" s="31" t="inlineStr">
        <is>
          <t>info@summitcorp.com</t>
        </is>
      </c>
      <c r="E320" s="25" t="inlineStr">
        <is>
          <t>Google</t>
        </is>
      </c>
      <c r="F320" s="25" t="inlineStr">
        <is>
          <t>Mid-Market</t>
        </is>
      </c>
      <c r="G320" s="25" t="inlineStr">
        <is>
          <t>No</t>
        </is>
      </c>
      <c r="H320" s="21" t="n"/>
      <c r="I320" s="25" t="inlineStr">
        <is>
          <t>No</t>
        </is>
      </c>
      <c r="J320" s="21" t="n"/>
      <c r="K320" s="24" t="n">
        <v/>
      </c>
      <c r="L320" s="22">
        <f>IF(G320="Yes", H320-B320, "")</f>
        <v/>
      </c>
      <c r="M320" s="22">
        <f>IF(I320="Yes", J320-H320, "")</f>
        <v/>
      </c>
      <c r="N320" s="22">
        <f>IF(I320="Yes", J320-B320, "")</f>
        <v/>
      </c>
    </row>
    <row r="321">
      <c r="A321" s="20" t="inlineStr">
        <is>
          <t>LD-1061</t>
        </is>
      </c>
      <c r="B321" s="16" t="n">
        <v>46095</v>
      </c>
      <c r="C321" s="32" t="inlineStr">
        <is>
          <t>Flux Partners</t>
        </is>
      </c>
      <c r="D321" s="32" t="inlineStr">
        <is>
          <t>info@fluxpartners.com</t>
        </is>
      </c>
      <c r="E321" s="20" t="inlineStr">
        <is>
          <t>Organic / Direct</t>
        </is>
      </c>
      <c r="F321" s="20" t="inlineStr">
        <is>
          <t>Enterprise</t>
        </is>
      </c>
      <c r="G321" s="20" t="inlineStr">
        <is>
          <t>No</t>
        </is>
      </c>
      <c r="H321" s="16" t="n"/>
      <c r="I321" s="20" t="inlineStr">
        <is>
          <t>No</t>
        </is>
      </c>
      <c r="J321" s="16" t="n"/>
      <c r="K321" s="19" t="n">
        <v/>
      </c>
      <c r="L321" s="17">
        <f>IF(G321="Yes", H321-B321, "")</f>
        <v/>
      </c>
      <c r="M321" s="17">
        <f>IF(I321="Yes", J321-H321, "")</f>
        <v/>
      </c>
      <c r="N321" s="17">
        <f>IF(I321="Yes", J321-B321, "")</f>
        <v/>
      </c>
    </row>
    <row r="322">
      <c r="A322" s="25" t="inlineStr">
        <is>
          <t>LD-1208</t>
        </is>
      </c>
      <c r="B322" s="21" t="n">
        <v>46110</v>
      </c>
      <c r="C322" s="31" t="inlineStr">
        <is>
          <t>Acme Technologies</t>
        </is>
      </c>
      <c r="D322" s="31" t="inlineStr">
        <is>
          <t>info@acmetechnologies.com</t>
        </is>
      </c>
      <c r="E322" s="25" t="inlineStr">
        <is>
          <t>Referral</t>
        </is>
      </c>
      <c r="F322" s="25" t="inlineStr">
        <is>
          <t>Enterprise</t>
        </is>
      </c>
      <c r="G322" s="25" t="inlineStr">
        <is>
          <t>Yes</t>
        </is>
      </c>
      <c r="H322" s="21" t="n">
        <v>46114</v>
      </c>
      <c r="I322" s="25" t="inlineStr">
        <is>
          <t>Yes</t>
        </is>
      </c>
      <c r="J322" s="21" t="n">
        <v>46130</v>
      </c>
      <c r="K322" s="24" t="n">
        <v>4270</v>
      </c>
      <c r="L322" s="22">
        <f>IF(G322="Yes", H322-B322, "")</f>
        <v/>
      </c>
      <c r="M322" s="22">
        <f>IF(I322="Yes", J322-H322, "")</f>
        <v/>
      </c>
      <c r="N322" s="22">
        <f>IF(I322="Yes", J322-B322, "")</f>
        <v/>
      </c>
    </row>
    <row r="323">
      <c r="A323" s="20" t="inlineStr">
        <is>
          <t>LD-1022</t>
        </is>
      </c>
      <c r="B323" s="16" t="n">
        <v>46117</v>
      </c>
      <c r="C323" s="32" t="inlineStr">
        <is>
          <t>Nova Partners</t>
        </is>
      </c>
      <c r="D323" s="32" t="inlineStr">
        <is>
          <t>info@novapartners.com</t>
        </is>
      </c>
      <c r="E323" s="20" t="inlineStr">
        <is>
          <t>Google</t>
        </is>
      </c>
      <c r="F323" s="20" t="inlineStr">
        <is>
          <t>SMB</t>
        </is>
      </c>
      <c r="G323" s="20" t="inlineStr">
        <is>
          <t>No</t>
        </is>
      </c>
      <c r="H323" s="16" t="n"/>
      <c r="I323" s="20" t="inlineStr">
        <is>
          <t>No</t>
        </is>
      </c>
      <c r="J323" s="16" t="n"/>
      <c r="K323" s="19" t="n">
        <v/>
      </c>
      <c r="L323" s="17">
        <f>IF(G323="Yes", H323-B323, "")</f>
        <v/>
      </c>
      <c r="M323" s="17">
        <f>IF(I323="Yes", J323-H323, "")</f>
        <v/>
      </c>
      <c r="N323" s="17">
        <f>IF(I323="Yes", J323-B323, "")</f>
        <v/>
      </c>
    </row>
    <row r="324">
      <c r="A324" s="25" t="inlineStr">
        <is>
          <t>LD-1173</t>
        </is>
      </c>
      <c r="B324" s="21" t="n">
        <v>46122</v>
      </c>
      <c r="C324" s="31" t="inlineStr">
        <is>
          <t>Flux LLC</t>
        </is>
      </c>
      <c r="D324" s="31" t="inlineStr">
        <is>
          <t>info@fluxllc.com</t>
        </is>
      </c>
      <c r="E324" s="25" t="inlineStr">
        <is>
          <t>Cold Outreach</t>
        </is>
      </c>
      <c r="F324" s="25" t="inlineStr">
        <is>
          <t>SMB</t>
        </is>
      </c>
      <c r="G324" s="25" t="inlineStr">
        <is>
          <t>Yes</t>
        </is>
      </c>
      <c r="H324" s="21" t="n">
        <v>46130</v>
      </c>
      <c r="I324" s="25" t="inlineStr">
        <is>
          <t>Yes</t>
        </is>
      </c>
      <c r="J324" s="21" t="n">
        <v>46149</v>
      </c>
      <c r="K324" s="24" t="n">
        <v>163</v>
      </c>
      <c r="L324" s="22">
        <f>IF(G324="Yes", H324-B324, "")</f>
        <v/>
      </c>
      <c r="M324" s="22">
        <f>IF(I324="Yes", J324-H324, "")</f>
        <v/>
      </c>
      <c r="N324" s="22">
        <f>IF(I324="Yes", J324-B324, "")</f>
        <v/>
      </c>
    </row>
    <row r="325">
      <c r="A325" s="20" t="inlineStr">
        <is>
          <t>LD-1370</t>
        </is>
      </c>
      <c r="B325" s="16" t="n">
        <v>46123</v>
      </c>
      <c r="C325" s="32" t="inlineStr">
        <is>
          <t>Omega LLC</t>
        </is>
      </c>
      <c r="D325" s="32" t="inlineStr">
        <is>
          <t>info@omegallc.com</t>
        </is>
      </c>
      <c r="E325" s="20" t="inlineStr">
        <is>
          <t>Organic / Direct</t>
        </is>
      </c>
      <c r="F325" s="20" t="inlineStr">
        <is>
          <t>SMB</t>
        </is>
      </c>
      <c r="G325" s="20" t="inlineStr">
        <is>
          <t>Yes</t>
        </is>
      </c>
      <c r="H325" s="16" t="n">
        <v>46129</v>
      </c>
      <c r="I325" s="20" t="inlineStr">
        <is>
          <t>No</t>
        </is>
      </c>
      <c r="J325" s="16" t="n"/>
      <c r="K325" s="19" t="n">
        <v/>
      </c>
      <c r="L325" s="17">
        <f>IF(G325="Yes", H325-B325, "")</f>
        <v/>
      </c>
      <c r="M325" s="17">
        <f>IF(I325="Yes", J325-H325, "")</f>
        <v/>
      </c>
      <c r="N325" s="17">
        <f>IF(I325="Yes", J325-B325, "")</f>
        <v/>
      </c>
    </row>
    <row r="326">
      <c r="A326" s="25" t="inlineStr">
        <is>
          <t>LD-1174</t>
        </is>
      </c>
      <c r="B326" s="21" t="n">
        <v>46100</v>
      </c>
      <c r="C326" s="31" t="inlineStr">
        <is>
          <t>Stellar LLC</t>
        </is>
      </c>
      <c r="D326" s="31" t="inlineStr">
        <is>
          <t>info@stellarllc.com</t>
        </is>
      </c>
      <c r="E326" s="25" t="inlineStr">
        <is>
          <t>Google</t>
        </is>
      </c>
      <c r="F326" s="25" t="inlineStr">
        <is>
          <t>Mid-Market</t>
        </is>
      </c>
      <c r="G326" s="25" t="inlineStr">
        <is>
          <t>No</t>
        </is>
      </c>
      <c r="H326" s="21" t="n"/>
      <c r="I326" s="25" t="inlineStr">
        <is>
          <t>No</t>
        </is>
      </c>
      <c r="J326" s="21" t="n"/>
      <c r="K326" s="24" t="n">
        <v/>
      </c>
      <c r="L326" s="22">
        <f>IF(G326="Yes", H326-B326, "")</f>
        <v/>
      </c>
      <c r="M326" s="22">
        <f>IF(I326="Yes", J326-H326, "")</f>
        <v/>
      </c>
      <c r="N326" s="22">
        <f>IF(I326="Yes", J326-B326, "")</f>
        <v/>
      </c>
    </row>
    <row r="327">
      <c r="A327" s="20" t="inlineStr">
        <is>
          <t>LD-1524</t>
        </is>
      </c>
      <c r="B327" s="16" t="n">
        <v>46093</v>
      </c>
      <c r="C327" s="32" t="inlineStr">
        <is>
          <t>Acme Partners</t>
        </is>
      </c>
      <c r="D327" s="32" t="inlineStr">
        <is>
          <t>info@acmepartners.com</t>
        </is>
      </c>
      <c r="E327" s="20" t="inlineStr">
        <is>
          <t>LinkedIn</t>
        </is>
      </c>
      <c r="F327" s="20" t="inlineStr">
        <is>
          <t>Mid-Market</t>
        </is>
      </c>
      <c r="G327" s="20" t="inlineStr">
        <is>
          <t>No</t>
        </is>
      </c>
      <c r="H327" s="16" t="n"/>
      <c r="I327" s="20" t="inlineStr">
        <is>
          <t>No</t>
        </is>
      </c>
      <c r="J327" s="16" t="n"/>
      <c r="K327" s="19" t="n">
        <v/>
      </c>
      <c r="L327" s="17">
        <f>IF(G327="Yes", H327-B327, "")</f>
        <v/>
      </c>
      <c r="M327" s="17">
        <f>IF(I327="Yes", J327-H327, "")</f>
        <v/>
      </c>
      <c r="N327" s="17">
        <f>IF(I327="Yes", J327-B327, "")</f>
        <v/>
      </c>
    </row>
    <row r="328">
      <c r="A328" s="25" t="inlineStr">
        <is>
          <t>LD-1516</t>
        </is>
      </c>
      <c r="B328" s="21" t="n">
        <v>46108</v>
      </c>
      <c r="C328" s="31" t="inlineStr">
        <is>
          <t>Helix LLC</t>
        </is>
      </c>
      <c r="D328" s="31" t="inlineStr">
        <is>
          <t>info@helixllc.com</t>
        </is>
      </c>
      <c r="E328" s="25" t="inlineStr">
        <is>
          <t>Organic / Direct</t>
        </is>
      </c>
      <c r="F328" s="25" t="inlineStr">
        <is>
          <t>Enterprise</t>
        </is>
      </c>
      <c r="G328" s="25" t="inlineStr">
        <is>
          <t>Yes</t>
        </is>
      </c>
      <c r="H328" s="21" t="n">
        <v>46112</v>
      </c>
      <c r="I328" s="25" t="inlineStr">
        <is>
          <t>No</t>
        </is>
      </c>
      <c r="J328" s="21" t="n"/>
      <c r="K328" s="24" t="n">
        <v/>
      </c>
      <c r="L328" s="22">
        <f>IF(G328="Yes", H328-B328, "")</f>
        <v/>
      </c>
      <c r="M328" s="22">
        <f>IF(I328="Yes", J328-H328, "")</f>
        <v/>
      </c>
      <c r="N328" s="22">
        <f>IF(I328="Yes", J328-B328, "")</f>
        <v/>
      </c>
    </row>
    <row r="329">
      <c r="A329" s="20" t="inlineStr">
        <is>
          <t>LD-1231</t>
        </is>
      </c>
      <c r="B329" s="16" t="n">
        <v>46132</v>
      </c>
      <c r="C329" s="32" t="inlineStr">
        <is>
          <t>Beacon Partners</t>
        </is>
      </c>
      <c r="D329" s="32" t="inlineStr">
        <is>
          <t>info@beaconpartners.com</t>
        </is>
      </c>
      <c r="E329" s="20" t="inlineStr">
        <is>
          <t>Referral</t>
        </is>
      </c>
      <c r="F329" s="20" t="inlineStr">
        <is>
          <t>Mid-Market</t>
        </is>
      </c>
      <c r="G329" s="20" t="inlineStr">
        <is>
          <t>Yes</t>
        </is>
      </c>
      <c r="H329" s="16" t="n">
        <v>46142</v>
      </c>
      <c r="I329" s="20" t="inlineStr">
        <is>
          <t>No</t>
        </is>
      </c>
      <c r="J329" s="16" t="n"/>
      <c r="K329" s="19" t="n">
        <v/>
      </c>
      <c r="L329" s="17">
        <f>IF(G329="Yes", H329-B329, "")</f>
        <v/>
      </c>
      <c r="M329" s="17">
        <f>IF(I329="Yes", J329-H329, "")</f>
        <v/>
      </c>
      <c r="N329" s="17">
        <f>IF(I329="Yes", J329-B329, "")</f>
        <v/>
      </c>
    </row>
    <row r="330">
      <c r="A330" s="25" t="inlineStr">
        <is>
          <t>LD-1365</t>
        </is>
      </c>
      <c r="B330" s="21" t="n">
        <v>46088</v>
      </c>
      <c r="C330" s="31" t="inlineStr">
        <is>
          <t>Alpha Co</t>
        </is>
      </c>
      <c r="D330" s="31" t="inlineStr">
        <is>
          <t>info@alphaco.com</t>
        </is>
      </c>
      <c r="E330" s="25" t="inlineStr">
        <is>
          <t>Referral</t>
        </is>
      </c>
      <c r="F330" s="25" t="inlineStr">
        <is>
          <t>Enterprise</t>
        </is>
      </c>
      <c r="G330" s="25" t="inlineStr">
        <is>
          <t>No</t>
        </is>
      </c>
      <c r="H330" s="21" t="n"/>
      <c r="I330" s="25" t="inlineStr">
        <is>
          <t>No</t>
        </is>
      </c>
      <c r="J330" s="21" t="n"/>
      <c r="K330" s="24" t="n">
        <v/>
      </c>
      <c r="L330" s="22">
        <f>IF(G330="Yes", H330-B330, "")</f>
        <v/>
      </c>
      <c r="M330" s="22">
        <f>IF(I330="Yes", J330-H330, "")</f>
        <v/>
      </c>
      <c r="N330" s="22">
        <f>IF(I330="Yes", J330-B330, "")</f>
        <v/>
      </c>
    </row>
    <row r="331">
      <c r="A331" s="20" t="inlineStr">
        <is>
          <t>LD-1256</t>
        </is>
      </c>
      <c r="B331" s="16" t="n">
        <v>46086</v>
      </c>
      <c r="C331" s="32" t="inlineStr">
        <is>
          <t>Pulse Technologies</t>
        </is>
      </c>
      <c r="D331" s="32" t="inlineStr">
        <is>
          <t>info@pulsetechnologies.com</t>
        </is>
      </c>
      <c r="E331" s="20" t="inlineStr">
        <is>
          <t>Organic / Direct</t>
        </is>
      </c>
      <c r="F331" s="20" t="inlineStr">
        <is>
          <t>Mid-Market</t>
        </is>
      </c>
      <c r="G331" s="20" t="inlineStr">
        <is>
          <t>Yes</t>
        </is>
      </c>
      <c r="H331" s="16" t="n">
        <v>46088</v>
      </c>
      <c r="I331" s="20" t="inlineStr">
        <is>
          <t>No</t>
        </is>
      </c>
      <c r="J331" s="16" t="n"/>
      <c r="K331" s="19" t="n">
        <v/>
      </c>
      <c r="L331" s="17">
        <f>IF(G331="Yes", H331-B331, "")</f>
        <v/>
      </c>
      <c r="M331" s="17">
        <f>IF(I331="Yes", J331-H331, "")</f>
        <v/>
      </c>
      <c r="N331" s="17">
        <f>IF(I331="Yes", J331-B331, "")</f>
        <v/>
      </c>
    </row>
    <row r="332">
      <c r="A332" s="25" t="inlineStr">
        <is>
          <t>LD-1158</t>
        </is>
      </c>
      <c r="B332" s="21" t="n">
        <v>46127</v>
      </c>
      <c r="C332" s="31" t="inlineStr">
        <is>
          <t>Helix Technologies</t>
        </is>
      </c>
      <c r="D332" s="31" t="inlineStr">
        <is>
          <t>info@helixtechnologies.com</t>
        </is>
      </c>
      <c r="E332" s="25" t="inlineStr">
        <is>
          <t>Google</t>
        </is>
      </c>
      <c r="F332" s="25" t="inlineStr">
        <is>
          <t>SMB</t>
        </is>
      </c>
      <c r="G332" s="25" t="inlineStr">
        <is>
          <t>No</t>
        </is>
      </c>
      <c r="H332" s="21" t="n"/>
      <c r="I332" s="25" t="inlineStr">
        <is>
          <t>No</t>
        </is>
      </c>
      <c r="J332" s="21" t="n"/>
      <c r="K332" s="24" t="n">
        <v/>
      </c>
      <c r="L332" s="22">
        <f>IF(G332="Yes", H332-B332, "")</f>
        <v/>
      </c>
      <c r="M332" s="22">
        <f>IF(I332="Yes", J332-H332, "")</f>
        <v/>
      </c>
      <c r="N332" s="22">
        <f>IF(I332="Yes", J332-B332, "")</f>
        <v/>
      </c>
    </row>
    <row r="333">
      <c r="A333" s="20" t="inlineStr">
        <is>
          <t>LD-1513</t>
        </is>
      </c>
      <c r="B333" s="16" t="n">
        <v>46095</v>
      </c>
      <c r="C333" s="32" t="inlineStr">
        <is>
          <t>Cloud Corp</t>
        </is>
      </c>
      <c r="D333" s="32" t="inlineStr">
        <is>
          <t>info@cloudcorp.com</t>
        </is>
      </c>
      <c r="E333" s="20" t="inlineStr">
        <is>
          <t>Organic / Direct</t>
        </is>
      </c>
      <c r="F333" s="20" t="inlineStr">
        <is>
          <t>Enterprise</t>
        </is>
      </c>
      <c r="G333" s="20" t="inlineStr">
        <is>
          <t>Yes</t>
        </is>
      </c>
      <c r="H333" s="16" t="n">
        <v>46105</v>
      </c>
      <c r="I333" s="20" t="inlineStr">
        <is>
          <t>No</t>
        </is>
      </c>
      <c r="J333" s="16" t="n"/>
      <c r="K333" s="19" t="n">
        <v/>
      </c>
      <c r="L333" s="17">
        <f>IF(G333="Yes", H333-B333, "")</f>
        <v/>
      </c>
      <c r="M333" s="17">
        <f>IF(I333="Yes", J333-H333, "")</f>
        <v/>
      </c>
      <c r="N333" s="17">
        <f>IF(I333="Yes", J333-B333, "")</f>
        <v/>
      </c>
    </row>
    <row r="334">
      <c r="A334" s="25" t="inlineStr">
        <is>
          <t>LD-1384</t>
        </is>
      </c>
      <c r="B334" s="21" t="n">
        <v>46164</v>
      </c>
      <c r="C334" s="31" t="inlineStr">
        <is>
          <t>Bold Solutions</t>
        </is>
      </c>
      <c r="D334" s="31" t="inlineStr">
        <is>
          <t>info@boldsolutions.com</t>
        </is>
      </c>
      <c r="E334" s="25" t="inlineStr">
        <is>
          <t>LinkedIn</t>
        </is>
      </c>
      <c r="F334" s="25" t="inlineStr">
        <is>
          <t>Mid-Market</t>
        </is>
      </c>
      <c r="G334" s="25" t="inlineStr">
        <is>
          <t>No</t>
        </is>
      </c>
      <c r="H334" s="21" t="n"/>
      <c r="I334" s="25" t="inlineStr">
        <is>
          <t>No</t>
        </is>
      </c>
      <c r="J334" s="21" t="n"/>
      <c r="K334" s="24" t="n">
        <v/>
      </c>
      <c r="L334" s="22">
        <f>IF(G334="Yes", H334-B334, "")</f>
        <v/>
      </c>
      <c r="M334" s="22">
        <f>IF(I334="Yes", J334-H334, "")</f>
        <v/>
      </c>
      <c r="N334" s="22">
        <f>IF(I334="Yes", J334-B334, "")</f>
        <v/>
      </c>
    </row>
    <row r="335">
      <c r="A335" s="20" t="inlineStr">
        <is>
          <t>LD-1033</t>
        </is>
      </c>
      <c r="B335" s="16" t="n">
        <v>46102</v>
      </c>
      <c r="C335" s="32" t="inlineStr">
        <is>
          <t>Pulse LLC</t>
        </is>
      </c>
      <c r="D335" s="32" t="inlineStr">
        <is>
          <t>info@pulsellc.com</t>
        </is>
      </c>
      <c r="E335" s="20" t="inlineStr">
        <is>
          <t>Organic / Direct</t>
        </is>
      </c>
      <c r="F335" s="20" t="inlineStr">
        <is>
          <t>SMB</t>
        </is>
      </c>
      <c r="G335" s="20" t="inlineStr">
        <is>
          <t>Yes</t>
        </is>
      </c>
      <c r="H335" s="16" t="n">
        <v>46108</v>
      </c>
      <c r="I335" s="20" t="inlineStr">
        <is>
          <t>No</t>
        </is>
      </c>
      <c r="J335" s="16" t="n"/>
      <c r="K335" s="19" t="n">
        <v/>
      </c>
      <c r="L335" s="17">
        <f>IF(G335="Yes", H335-B335, "")</f>
        <v/>
      </c>
      <c r="M335" s="17">
        <f>IF(I335="Yes", J335-H335, "")</f>
        <v/>
      </c>
      <c r="N335" s="17">
        <f>IF(I335="Yes", J335-B335, "")</f>
        <v/>
      </c>
    </row>
    <row r="336">
      <c r="A336" s="25" t="inlineStr">
        <is>
          <t>LD-1509</t>
        </is>
      </c>
      <c r="B336" s="21" t="n">
        <v>46086</v>
      </c>
      <c r="C336" s="31" t="inlineStr">
        <is>
          <t>Apex Technologies</t>
        </is>
      </c>
      <c r="D336" s="31" t="inlineStr">
        <is>
          <t>info@apextechnologies.com</t>
        </is>
      </c>
      <c r="E336" s="25" t="inlineStr">
        <is>
          <t>Google</t>
        </is>
      </c>
      <c r="F336" s="25" t="inlineStr">
        <is>
          <t>Mid-Market</t>
        </is>
      </c>
      <c r="G336" s="25" t="inlineStr">
        <is>
          <t>No</t>
        </is>
      </c>
      <c r="H336" s="21" t="n"/>
      <c r="I336" s="25" t="inlineStr">
        <is>
          <t>No</t>
        </is>
      </c>
      <c r="J336" s="21" t="n"/>
      <c r="K336" s="24" t="n">
        <v/>
      </c>
      <c r="L336" s="22">
        <f>IF(G336="Yes", H336-B336, "")</f>
        <v/>
      </c>
      <c r="M336" s="22">
        <f>IF(I336="Yes", J336-H336, "")</f>
        <v/>
      </c>
      <c r="N336" s="22">
        <f>IF(I336="Yes", J336-B336, "")</f>
        <v/>
      </c>
    </row>
    <row r="337">
      <c r="A337" s="20" t="inlineStr">
        <is>
          <t>LD-1251</t>
        </is>
      </c>
      <c r="B337" s="16" t="n">
        <v>46163</v>
      </c>
      <c r="C337" s="32" t="inlineStr">
        <is>
          <t>Omega LLC</t>
        </is>
      </c>
      <c r="D337" s="32" t="inlineStr">
        <is>
          <t>info@omegallc.com</t>
        </is>
      </c>
      <c r="E337" s="20" t="inlineStr">
        <is>
          <t>Referral</t>
        </is>
      </c>
      <c r="F337" s="20" t="inlineStr">
        <is>
          <t>Enterprise</t>
        </is>
      </c>
      <c r="G337" s="20" t="inlineStr">
        <is>
          <t>Yes</t>
        </is>
      </c>
      <c r="H337" s="16" t="n">
        <v>46168</v>
      </c>
      <c r="I337" s="20" t="inlineStr">
        <is>
          <t>No</t>
        </is>
      </c>
      <c r="J337" s="16" t="n"/>
      <c r="K337" s="19" t="n">
        <v/>
      </c>
      <c r="L337" s="17">
        <f>IF(G337="Yes", H337-B337, "")</f>
        <v/>
      </c>
      <c r="M337" s="17">
        <f>IF(I337="Yes", J337-H337, "")</f>
        <v/>
      </c>
      <c r="N337" s="17">
        <f>IF(I337="Yes", J337-B337, "")</f>
        <v/>
      </c>
    </row>
    <row r="338">
      <c r="A338" s="25" t="inlineStr">
        <is>
          <t>LD-1123</t>
        </is>
      </c>
      <c r="B338" s="21" t="n">
        <v>46116</v>
      </c>
      <c r="C338" s="31" t="inlineStr">
        <is>
          <t>Helix Partners</t>
        </is>
      </c>
      <c r="D338" s="31" t="inlineStr">
        <is>
          <t>info@helixpartners.com</t>
        </is>
      </c>
      <c r="E338" s="25" t="inlineStr">
        <is>
          <t>LinkedIn</t>
        </is>
      </c>
      <c r="F338" s="25" t="inlineStr">
        <is>
          <t>Enterprise</t>
        </is>
      </c>
      <c r="G338" s="25" t="inlineStr">
        <is>
          <t>Yes</t>
        </is>
      </c>
      <c r="H338" s="21" t="n">
        <v>46123</v>
      </c>
      <c r="I338" s="25" t="inlineStr">
        <is>
          <t>Yes</t>
        </is>
      </c>
      <c r="J338" s="21" t="n">
        <v>46143</v>
      </c>
      <c r="K338" s="24" t="n">
        <v>5000</v>
      </c>
      <c r="L338" s="22">
        <f>IF(G338="Yes", H338-B338, "")</f>
        <v/>
      </c>
      <c r="M338" s="22">
        <f>IF(I338="Yes", J338-H338, "")</f>
        <v/>
      </c>
      <c r="N338" s="22">
        <f>IF(I338="Yes", J338-B338, "")</f>
        <v/>
      </c>
    </row>
    <row r="339">
      <c r="A339" s="20" t="inlineStr">
        <is>
          <t>LD-1304</t>
        </is>
      </c>
      <c r="B339" s="16" t="n">
        <v>46149</v>
      </c>
      <c r="C339" s="32" t="inlineStr">
        <is>
          <t>Core Solutions</t>
        </is>
      </c>
      <c r="D339" s="32" t="inlineStr">
        <is>
          <t>info@coresolutions.com</t>
        </is>
      </c>
      <c r="E339" s="20" t="inlineStr">
        <is>
          <t>Google</t>
        </is>
      </c>
      <c r="F339" s="20" t="inlineStr">
        <is>
          <t>Mid-Market</t>
        </is>
      </c>
      <c r="G339" s="20" t="inlineStr">
        <is>
          <t>Yes</t>
        </is>
      </c>
      <c r="H339" s="16" t="n">
        <v>46152</v>
      </c>
      <c r="I339" s="20" t="inlineStr">
        <is>
          <t>No</t>
        </is>
      </c>
      <c r="J339" s="16" t="n"/>
      <c r="K339" s="19" t="n">
        <v/>
      </c>
      <c r="L339" s="17">
        <f>IF(G339="Yes", H339-B339, "")</f>
        <v/>
      </c>
      <c r="M339" s="17">
        <f>IF(I339="Yes", J339-H339, "")</f>
        <v/>
      </c>
      <c r="N339" s="17">
        <f>IF(I339="Yes", J339-B339, "")</f>
        <v/>
      </c>
    </row>
    <row r="340">
      <c r="A340" s="25" t="inlineStr">
        <is>
          <t>LD-1500</t>
        </is>
      </c>
      <c r="B340" s="21" t="n">
        <v>46086</v>
      </c>
      <c r="C340" s="31" t="inlineStr">
        <is>
          <t>Alpha Partners</t>
        </is>
      </c>
      <c r="D340" s="31" t="inlineStr">
        <is>
          <t>info@alphapartners.com</t>
        </is>
      </c>
      <c r="E340" s="25" t="inlineStr">
        <is>
          <t>LinkedIn</t>
        </is>
      </c>
      <c r="F340" s="25" t="inlineStr">
        <is>
          <t>Enterprise</t>
        </is>
      </c>
      <c r="G340" s="25" t="inlineStr">
        <is>
          <t>Yes</t>
        </is>
      </c>
      <c r="H340" s="21" t="n">
        <v>46087</v>
      </c>
      <c r="I340" s="25" t="inlineStr">
        <is>
          <t>No</t>
        </is>
      </c>
      <c r="J340" s="21" t="n"/>
      <c r="K340" s="24" t="n">
        <v/>
      </c>
      <c r="L340" s="22">
        <f>IF(G340="Yes", H340-B340, "")</f>
        <v/>
      </c>
      <c r="M340" s="22">
        <f>IF(I340="Yes", J340-H340, "")</f>
        <v/>
      </c>
      <c r="N340" s="22">
        <f>IF(I340="Yes", J340-B340, "")</f>
        <v/>
      </c>
    </row>
    <row r="341">
      <c r="A341" s="20" t="inlineStr">
        <is>
          <t>LD-1502</t>
        </is>
      </c>
      <c r="B341" s="16" t="n">
        <v>46148</v>
      </c>
      <c r="C341" s="32" t="inlineStr">
        <is>
          <t>Alpha Corp</t>
        </is>
      </c>
      <c r="D341" s="32" t="inlineStr">
        <is>
          <t>info@alphacorp.com</t>
        </is>
      </c>
      <c r="E341" s="20" t="inlineStr">
        <is>
          <t>Organic / Direct</t>
        </is>
      </c>
      <c r="F341" s="20" t="inlineStr">
        <is>
          <t>Enterprise</t>
        </is>
      </c>
      <c r="G341" s="20" t="inlineStr">
        <is>
          <t>No</t>
        </is>
      </c>
      <c r="H341" s="16" t="n"/>
      <c r="I341" s="20" t="inlineStr">
        <is>
          <t>No</t>
        </is>
      </c>
      <c r="J341" s="16" t="n"/>
      <c r="K341" s="19" t="n">
        <v/>
      </c>
      <c r="L341" s="17">
        <f>IF(G341="Yes", H341-B341, "")</f>
        <v/>
      </c>
      <c r="M341" s="17">
        <f>IF(I341="Yes", J341-H341, "")</f>
        <v/>
      </c>
      <c r="N341" s="17">
        <f>IF(I341="Yes", J341-B341, "")</f>
        <v/>
      </c>
    </row>
    <row r="342">
      <c r="A342" s="25" t="inlineStr">
        <is>
          <t>LD-1019</t>
        </is>
      </c>
      <c r="B342" s="21" t="n">
        <v>46091</v>
      </c>
      <c r="C342" s="31" t="inlineStr">
        <is>
          <t>Beacon Partners</t>
        </is>
      </c>
      <c r="D342" s="31" t="inlineStr">
        <is>
          <t>info@beaconpartners.com</t>
        </is>
      </c>
      <c r="E342" s="25" t="inlineStr">
        <is>
          <t>Cold Outreach</t>
        </is>
      </c>
      <c r="F342" s="25" t="inlineStr">
        <is>
          <t>Enterprise</t>
        </is>
      </c>
      <c r="G342" s="25" t="inlineStr">
        <is>
          <t>Yes</t>
        </is>
      </c>
      <c r="H342" s="21" t="n">
        <v>46099</v>
      </c>
      <c r="I342" s="25" t="inlineStr">
        <is>
          <t>No</t>
        </is>
      </c>
      <c r="J342" s="21" t="n"/>
      <c r="K342" s="24" t="n">
        <v/>
      </c>
      <c r="L342" s="22">
        <f>IF(G342="Yes", H342-B342, "")</f>
        <v/>
      </c>
      <c r="M342" s="22">
        <f>IF(I342="Yes", J342-H342, "")</f>
        <v/>
      </c>
      <c r="N342" s="22">
        <f>IF(I342="Yes", J342-B342, "")</f>
        <v/>
      </c>
    </row>
    <row r="343">
      <c r="A343" s="20" t="inlineStr">
        <is>
          <t>LD-1072</t>
        </is>
      </c>
      <c r="B343" s="16" t="n">
        <v>46097</v>
      </c>
      <c r="C343" s="32" t="inlineStr">
        <is>
          <t>Helix Solutions</t>
        </is>
      </c>
      <c r="D343" s="32" t="inlineStr">
        <is>
          <t>info@helixsolutions.com</t>
        </is>
      </c>
      <c r="E343" s="20" t="inlineStr">
        <is>
          <t>Referral</t>
        </is>
      </c>
      <c r="F343" s="20" t="inlineStr">
        <is>
          <t>Mid-Market</t>
        </is>
      </c>
      <c r="G343" s="20" t="inlineStr">
        <is>
          <t>No</t>
        </is>
      </c>
      <c r="H343" s="16" t="n"/>
      <c r="I343" s="20" t="inlineStr">
        <is>
          <t>No</t>
        </is>
      </c>
      <c r="J343" s="16" t="n"/>
      <c r="K343" s="19" t="n">
        <v/>
      </c>
      <c r="L343" s="17">
        <f>IF(G343="Yes", H343-B343, "")</f>
        <v/>
      </c>
      <c r="M343" s="17">
        <f>IF(I343="Yes", J343-H343, "")</f>
        <v/>
      </c>
      <c r="N343" s="17">
        <f>IF(I343="Yes", J343-B343, "")</f>
        <v/>
      </c>
    </row>
    <row r="344">
      <c r="A344" s="25" t="inlineStr">
        <is>
          <t>LD-1380</t>
        </is>
      </c>
      <c r="B344" s="21" t="n">
        <v>46114</v>
      </c>
      <c r="C344" s="31" t="inlineStr">
        <is>
          <t>Alpha Group</t>
        </is>
      </c>
      <c r="D344" s="31" t="inlineStr">
        <is>
          <t>info@alphagroup.com</t>
        </is>
      </c>
      <c r="E344" s="25" t="inlineStr">
        <is>
          <t>Cold Outreach</t>
        </is>
      </c>
      <c r="F344" s="25" t="inlineStr">
        <is>
          <t>SMB</t>
        </is>
      </c>
      <c r="G344" s="25" t="inlineStr">
        <is>
          <t>No</t>
        </is>
      </c>
      <c r="H344" s="21" t="n"/>
      <c r="I344" s="25" t="inlineStr">
        <is>
          <t>No</t>
        </is>
      </c>
      <c r="J344" s="21" t="n"/>
      <c r="K344" s="24" t="n">
        <v/>
      </c>
      <c r="L344" s="22">
        <f>IF(G344="Yes", H344-B344, "")</f>
        <v/>
      </c>
      <c r="M344" s="22">
        <f>IF(I344="Yes", J344-H344, "")</f>
        <v/>
      </c>
      <c r="N344" s="22">
        <f>IF(I344="Yes", J344-B344, "")</f>
        <v/>
      </c>
    </row>
    <row r="345">
      <c r="A345" s="20" t="inlineStr">
        <is>
          <t>LD-1225</t>
        </is>
      </c>
      <c r="B345" s="16" t="n">
        <v>46113</v>
      </c>
      <c r="C345" s="32" t="inlineStr">
        <is>
          <t>Nova Inc</t>
        </is>
      </c>
      <c r="D345" s="32" t="inlineStr">
        <is>
          <t>info@novainc.com</t>
        </is>
      </c>
      <c r="E345" s="20" t="inlineStr">
        <is>
          <t>Cold Outreach</t>
        </is>
      </c>
      <c r="F345" s="20" t="inlineStr">
        <is>
          <t>Mid-Market</t>
        </is>
      </c>
      <c r="G345" s="20" t="inlineStr">
        <is>
          <t>Yes</t>
        </is>
      </c>
      <c r="H345" s="16" t="n">
        <v>46114</v>
      </c>
      <c r="I345" s="20" t="inlineStr">
        <is>
          <t>No</t>
        </is>
      </c>
      <c r="J345" s="16" t="n"/>
      <c r="K345" s="19" t="n">
        <v/>
      </c>
      <c r="L345" s="17">
        <f>IF(G345="Yes", H345-B345, "")</f>
        <v/>
      </c>
      <c r="M345" s="17">
        <f>IF(I345="Yes", J345-H345, "")</f>
        <v/>
      </c>
      <c r="N345" s="17">
        <f>IF(I345="Yes", J345-B345, "")</f>
        <v/>
      </c>
    </row>
    <row r="346">
      <c r="A346" s="25" t="inlineStr">
        <is>
          <t>LD-1369</t>
        </is>
      </c>
      <c r="B346" s="21" t="n">
        <v>46156</v>
      </c>
      <c r="C346" s="31" t="inlineStr">
        <is>
          <t>Cloud Group</t>
        </is>
      </c>
      <c r="D346" s="31" t="inlineStr">
        <is>
          <t>info@cloudgroup.com</t>
        </is>
      </c>
      <c r="E346" s="25" t="inlineStr">
        <is>
          <t>Google</t>
        </is>
      </c>
      <c r="F346" s="25" t="inlineStr">
        <is>
          <t>SMB</t>
        </is>
      </c>
      <c r="G346" s="25" t="inlineStr">
        <is>
          <t>Yes</t>
        </is>
      </c>
      <c r="H346" s="21" t="n">
        <v>46166</v>
      </c>
      <c r="I346" s="25" t="inlineStr">
        <is>
          <t>No</t>
        </is>
      </c>
      <c r="J346" s="21" t="n"/>
      <c r="K346" s="24" t="n">
        <v/>
      </c>
      <c r="L346" s="22">
        <f>IF(G346="Yes", H346-B346, "")</f>
        <v/>
      </c>
      <c r="M346" s="22">
        <f>IF(I346="Yes", J346-H346, "")</f>
        <v/>
      </c>
      <c r="N346" s="22">
        <f>IF(I346="Yes", J346-B346, "")</f>
        <v/>
      </c>
    </row>
    <row r="347">
      <c r="A347" s="20" t="inlineStr">
        <is>
          <t>LD-1044</t>
        </is>
      </c>
      <c r="B347" s="16" t="n">
        <v>46112</v>
      </c>
      <c r="C347" s="32" t="inlineStr">
        <is>
          <t>Synergy Solutions</t>
        </is>
      </c>
      <c r="D347" s="32" t="inlineStr">
        <is>
          <t>info@synergysolutions.com</t>
        </is>
      </c>
      <c r="E347" s="20" t="inlineStr">
        <is>
          <t>Referral</t>
        </is>
      </c>
      <c r="F347" s="20" t="inlineStr">
        <is>
          <t>Enterprise</t>
        </is>
      </c>
      <c r="G347" s="20" t="inlineStr">
        <is>
          <t>No</t>
        </is>
      </c>
      <c r="H347" s="16" t="n"/>
      <c r="I347" s="20" t="inlineStr">
        <is>
          <t>No</t>
        </is>
      </c>
      <c r="J347" s="16" t="n"/>
      <c r="K347" s="19" t="n">
        <v/>
      </c>
      <c r="L347" s="17">
        <f>IF(G347="Yes", H347-B347, "")</f>
        <v/>
      </c>
      <c r="M347" s="17">
        <f>IF(I347="Yes", J347-H347, "")</f>
        <v/>
      </c>
      <c r="N347" s="17">
        <f>IF(I347="Yes", J347-B347, "")</f>
        <v/>
      </c>
    </row>
    <row r="348">
      <c r="A348" s="25" t="inlineStr">
        <is>
          <t>LD-1250</t>
        </is>
      </c>
      <c r="B348" s="21" t="n">
        <v>46117</v>
      </c>
      <c r="C348" s="31" t="inlineStr">
        <is>
          <t>Nova Corp</t>
        </is>
      </c>
      <c r="D348" s="31" t="inlineStr">
        <is>
          <t>info@novacorp.com</t>
        </is>
      </c>
      <c r="E348" s="25" t="inlineStr">
        <is>
          <t>LinkedIn</t>
        </is>
      </c>
      <c r="F348" s="25" t="inlineStr">
        <is>
          <t>Mid-Market</t>
        </is>
      </c>
      <c r="G348" s="25" t="inlineStr">
        <is>
          <t>Yes</t>
        </is>
      </c>
      <c r="H348" s="21" t="n">
        <v>46119</v>
      </c>
      <c r="I348" s="25" t="inlineStr">
        <is>
          <t>Yes</t>
        </is>
      </c>
      <c r="J348" s="21" t="n">
        <v>46139</v>
      </c>
      <c r="K348" s="24" t="n">
        <v>1040</v>
      </c>
      <c r="L348" s="22">
        <f>IF(G348="Yes", H348-B348, "")</f>
        <v/>
      </c>
      <c r="M348" s="22">
        <f>IF(I348="Yes", J348-H348, "")</f>
        <v/>
      </c>
      <c r="N348" s="22">
        <f>IF(I348="Yes", J348-B348, "")</f>
        <v/>
      </c>
    </row>
    <row r="349">
      <c r="A349" s="20" t="inlineStr">
        <is>
          <t>LD-1375</t>
        </is>
      </c>
      <c r="B349" s="16" t="n">
        <v>46114</v>
      </c>
      <c r="C349" s="32" t="inlineStr">
        <is>
          <t>Apex Technologies</t>
        </is>
      </c>
      <c r="D349" s="32" t="inlineStr">
        <is>
          <t>info@apextechnologies.com</t>
        </is>
      </c>
      <c r="E349" s="20" t="inlineStr">
        <is>
          <t>LinkedIn</t>
        </is>
      </c>
      <c r="F349" s="20" t="inlineStr">
        <is>
          <t>Mid-Market</t>
        </is>
      </c>
      <c r="G349" s="20" t="inlineStr">
        <is>
          <t>Yes</t>
        </is>
      </c>
      <c r="H349" s="16" t="n">
        <v>46123</v>
      </c>
      <c r="I349" s="20" t="inlineStr">
        <is>
          <t>No</t>
        </is>
      </c>
      <c r="J349" s="16" t="n"/>
      <c r="K349" s="19" t="n">
        <v/>
      </c>
      <c r="L349" s="17">
        <f>IF(G349="Yes", H349-B349, "")</f>
        <v/>
      </c>
      <c r="M349" s="17">
        <f>IF(I349="Yes", J349-H349, "")</f>
        <v/>
      </c>
      <c r="N349" s="17">
        <f>IF(I349="Yes", J349-B349, "")</f>
        <v/>
      </c>
    </row>
    <row r="350">
      <c r="A350" s="25" t="inlineStr">
        <is>
          <t>LD-1323</t>
        </is>
      </c>
      <c r="B350" s="21" t="n">
        <v>46123</v>
      </c>
      <c r="C350" s="31" t="inlineStr">
        <is>
          <t>Acme Global</t>
        </is>
      </c>
      <c r="D350" s="31" t="inlineStr">
        <is>
          <t>info@acmeglobal.com</t>
        </is>
      </c>
      <c r="E350" s="25" t="inlineStr">
        <is>
          <t>Google</t>
        </is>
      </c>
      <c r="F350" s="25" t="inlineStr">
        <is>
          <t>SMB</t>
        </is>
      </c>
      <c r="G350" s="25" t="inlineStr">
        <is>
          <t>Yes</t>
        </is>
      </c>
      <c r="H350" s="21" t="n">
        <v>46133</v>
      </c>
      <c r="I350" s="25" t="inlineStr">
        <is>
          <t>Yes</t>
        </is>
      </c>
      <c r="J350" s="21" t="n">
        <v>46141</v>
      </c>
      <c r="K350" s="24" t="n">
        <v>237</v>
      </c>
      <c r="L350" s="22">
        <f>IF(G350="Yes", H350-B350, "")</f>
        <v/>
      </c>
      <c r="M350" s="22">
        <f>IF(I350="Yes", J350-H350, "")</f>
        <v/>
      </c>
      <c r="N350" s="22">
        <f>IF(I350="Yes", J350-B350, "")</f>
        <v/>
      </c>
    </row>
    <row r="351">
      <c r="A351" s="20" t="inlineStr">
        <is>
          <t>LD-1421</t>
        </is>
      </c>
      <c r="B351" s="16" t="n">
        <v>46158</v>
      </c>
      <c r="C351" s="32" t="inlineStr">
        <is>
          <t>Summit Partners</t>
        </is>
      </c>
      <c r="D351" s="32" t="inlineStr">
        <is>
          <t>info@summitpartners.com</t>
        </is>
      </c>
      <c r="E351" s="20" t="inlineStr">
        <is>
          <t>Webinar</t>
        </is>
      </c>
      <c r="F351" s="20" t="inlineStr">
        <is>
          <t>Enterprise</t>
        </is>
      </c>
      <c r="G351" s="20" t="inlineStr">
        <is>
          <t>Yes</t>
        </is>
      </c>
      <c r="H351" s="16" t="n">
        <v>46159</v>
      </c>
      <c r="I351" s="20" t="inlineStr">
        <is>
          <t>No</t>
        </is>
      </c>
      <c r="J351" s="16" t="n"/>
      <c r="K351" s="19" t="n">
        <v/>
      </c>
      <c r="L351" s="17">
        <f>IF(G351="Yes", H351-B351, "")</f>
        <v/>
      </c>
      <c r="M351" s="17">
        <f>IF(I351="Yes", J351-H351, "")</f>
        <v/>
      </c>
      <c r="N351" s="17">
        <f>IF(I351="Yes", J351-B351, "")</f>
        <v/>
      </c>
    </row>
    <row r="352">
      <c r="A352" s="25" t="inlineStr">
        <is>
          <t>LD-1458</t>
        </is>
      </c>
      <c r="B352" s="21" t="n">
        <v>46120</v>
      </c>
      <c r="C352" s="31" t="inlineStr">
        <is>
          <t>Apex Solutions</t>
        </is>
      </c>
      <c r="D352" s="31" t="inlineStr">
        <is>
          <t>info@apexsolutions.com</t>
        </is>
      </c>
      <c r="E352" s="25" t="inlineStr">
        <is>
          <t>Referral</t>
        </is>
      </c>
      <c r="F352" s="25" t="inlineStr">
        <is>
          <t>Mid-Market</t>
        </is>
      </c>
      <c r="G352" s="25" t="inlineStr">
        <is>
          <t>Yes</t>
        </is>
      </c>
      <c r="H352" s="21" t="n">
        <v>46125</v>
      </c>
      <c r="I352" s="25" t="inlineStr">
        <is>
          <t>No</t>
        </is>
      </c>
      <c r="J352" s="21" t="n"/>
      <c r="K352" s="24" t="n">
        <v/>
      </c>
      <c r="L352" s="22">
        <f>IF(G352="Yes", H352-B352, "")</f>
        <v/>
      </c>
      <c r="M352" s="22">
        <f>IF(I352="Yes", J352-H352, "")</f>
        <v/>
      </c>
      <c r="N352" s="22">
        <f>IF(I352="Yes", J352-B352, "")</f>
        <v/>
      </c>
    </row>
    <row r="353">
      <c r="A353" s="20" t="inlineStr">
        <is>
          <t>LD-1154</t>
        </is>
      </c>
      <c r="B353" s="16" t="n">
        <v>46151</v>
      </c>
      <c r="C353" s="32" t="inlineStr">
        <is>
          <t>Apex Solutions</t>
        </is>
      </c>
      <c r="D353" s="32" t="inlineStr">
        <is>
          <t>info@apexsolutions.com</t>
        </is>
      </c>
      <c r="E353" s="20" t="inlineStr">
        <is>
          <t>Google</t>
        </is>
      </c>
      <c r="F353" s="20" t="inlineStr">
        <is>
          <t>Enterprise</t>
        </is>
      </c>
      <c r="G353" s="20" t="inlineStr">
        <is>
          <t>Yes</t>
        </is>
      </c>
      <c r="H353" s="16" t="n">
        <v>46153</v>
      </c>
      <c r="I353" s="20" t="inlineStr">
        <is>
          <t>No</t>
        </is>
      </c>
      <c r="J353" s="16" t="n"/>
      <c r="K353" s="19" t="n">
        <v/>
      </c>
      <c r="L353" s="17">
        <f>IF(G353="Yes", H353-B353, "")</f>
        <v/>
      </c>
      <c r="M353" s="17">
        <f>IF(I353="Yes", J353-H353, "")</f>
        <v/>
      </c>
      <c r="N353" s="17">
        <f>IF(I353="Yes", J353-B353, "")</f>
        <v/>
      </c>
    </row>
    <row r="354">
      <c r="A354" s="25" t="inlineStr">
        <is>
          <t>LD-1098</t>
        </is>
      </c>
      <c r="B354" s="21" t="n">
        <v>46087</v>
      </c>
      <c r="C354" s="31" t="inlineStr">
        <is>
          <t>Alpha Inc</t>
        </is>
      </c>
      <c r="D354" s="31" t="inlineStr">
        <is>
          <t>info@alphainc.com</t>
        </is>
      </c>
      <c r="E354" s="25" t="inlineStr">
        <is>
          <t>Google</t>
        </is>
      </c>
      <c r="F354" s="25" t="inlineStr">
        <is>
          <t>Mid-Market</t>
        </is>
      </c>
      <c r="G354" s="25" t="inlineStr">
        <is>
          <t>Yes</t>
        </is>
      </c>
      <c r="H354" s="21" t="n">
        <v>46094</v>
      </c>
      <c r="I354" s="25" t="inlineStr">
        <is>
          <t>Yes</t>
        </is>
      </c>
      <c r="J354" s="21" t="n">
        <v>46103</v>
      </c>
      <c r="K354" s="24" t="n">
        <v>1305</v>
      </c>
      <c r="L354" s="22">
        <f>IF(G354="Yes", H354-B354, "")</f>
        <v/>
      </c>
      <c r="M354" s="22">
        <f>IF(I354="Yes", J354-H354, "")</f>
        <v/>
      </c>
      <c r="N354" s="22">
        <f>IF(I354="Yes", J354-B354, "")</f>
        <v/>
      </c>
    </row>
    <row r="355">
      <c r="A355" s="20" t="inlineStr">
        <is>
          <t>LD-1465</t>
        </is>
      </c>
      <c r="B355" s="16" t="n">
        <v>46101</v>
      </c>
      <c r="C355" s="32" t="inlineStr">
        <is>
          <t>Core LLC</t>
        </is>
      </c>
      <c r="D355" s="32" t="inlineStr">
        <is>
          <t>info@corellc.com</t>
        </is>
      </c>
      <c r="E355" s="20" t="inlineStr">
        <is>
          <t>Cold Outreach</t>
        </is>
      </c>
      <c r="F355" s="20" t="inlineStr">
        <is>
          <t>Enterprise</t>
        </is>
      </c>
      <c r="G355" s="20" t="inlineStr">
        <is>
          <t>Yes</t>
        </is>
      </c>
      <c r="H355" s="16" t="n">
        <v>46104</v>
      </c>
      <c r="I355" s="20" t="inlineStr">
        <is>
          <t>Yes</t>
        </is>
      </c>
      <c r="J355" s="16" t="n">
        <v>46110</v>
      </c>
      <c r="K355" s="19" t="n">
        <v>4655</v>
      </c>
      <c r="L355" s="17">
        <f>IF(G355="Yes", H355-B355, "")</f>
        <v/>
      </c>
      <c r="M355" s="17">
        <f>IF(I355="Yes", J355-H355, "")</f>
        <v/>
      </c>
      <c r="N355" s="17">
        <f>IF(I355="Yes", J355-B355, "")</f>
        <v/>
      </c>
    </row>
    <row r="356">
      <c r="A356" s="25" t="inlineStr">
        <is>
          <t>LD-1381</t>
        </is>
      </c>
      <c r="B356" s="21" t="n">
        <v>46162</v>
      </c>
      <c r="C356" s="31" t="inlineStr">
        <is>
          <t>Stellar Partners</t>
        </is>
      </c>
      <c r="D356" s="31" t="inlineStr">
        <is>
          <t>info@stellarpartners.com</t>
        </is>
      </c>
      <c r="E356" s="25" t="inlineStr">
        <is>
          <t>Google</t>
        </is>
      </c>
      <c r="F356" s="25" t="inlineStr">
        <is>
          <t>Enterprise</t>
        </is>
      </c>
      <c r="G356" s="25" t="inlineStr">
        <is>
          <t>Yes</t>
        </is>
      </c>
      <c r="H356" s="21" t="n">
        <v>46166</v>
      </c>
      <c r="I356" s="25" t="inlineStr">
        <is>
          <t>No</t>
        </is>
      </c>
      <c r="J356" s="21" t="n"/>
      <c r="K356" s="24" t="n">
        <v/>
      </c>
      <c r="L356" s="22">
        <f>IF(G356="Yes", H356-B356, "")</f>
        <v/>
      </c>
      <c r="M356" s="22">
        <f>IF(I356="Yes", J356-H356, "")</f>
        <v/>
      </c>
      <c r="N356" s="22">
        <f>IF(I356="Yes", J356-B356, "")</f>
        <v/>
      </c>
    </row>
    <row r="357">
      <c r="A357" s="20" t="inlineStr">
        <is>
          <t>LD-1021</t>
        </is>
      </c>
      <c r="B357" s="16" t="n">
        <v>46164</v>
      </c>
      <c r="C357" s="32" t="inlineStr">
        <is>
          <t>Omega Co</t>
        </is>
      </c>
      <c r="D357" s="32" t="inlineStr">
        <is>
          <t>info@omegaco.com</t>
        </is>
      </c>
      <c r="E357" s="20" t="inlineStr">
        <is>
          <t>LinkedIn</t>
        </is>
      </c>
      <c r="F357" s="20" t="inlineStr">
        <is>
          <t>SMB</t>
        </is>
      </c>
      <c r="G357" s="20" t="inlineStr">
        <is>
          <t>Yes</t>
        </is>
      </c>
      <c r="H357" s="16" t="n">
        <v>46167</v>
      </c>
      <c r="I357" s="20" t="inlineStr">
        <is>
          <t>No</t>
        </is>
      </c>
      <c r="J357" s="16" t="n"/>
      <c r="K357" s="19" t="n">
        <v/>
      </c>
      <c r="L357" s="17">
        <f>IF(G357="Yes", H357-B357, "")</f>
        <v/>
      </c>
      <c r="M357" s="17">
        <f>IF(I357="Yes", J357-H357, "")</f>
        <v/>
      </c>
      <c r="N357" s="17">
        <f>IF(I357="Yes", J357-B357, "")</f>
        <v/>
      </c>
    </row>
    <row r="358">
      <c r="A358" s="25" t="inlineStr">
        <is>
          <t>LD-1284</t>
        </is>
      </c>
      <c r="B358" s="21" t="n">
        <v>46104</v>
      </c>
      <c r="C358" s="31" t="inlineStr">
        <is>
          <t>Helix Solutions</t>
        </is>
      </c>
      <c r="D358" s="31" t="inlineStr">
        <is>
          <t>info@helixsolutions.com</t>
        </is>
      </c>
      <c r="E358" s="25" t="inlineStr">
        <is>
          <t>Organic / Direct</t>
        </is>
      </c>
      <c r="F358" s="25" t="inlineStr">
        <is>
          <t>Mid-Market</t>
        </is>
      </c>
      <c r="G358" s="25" t="inlineStr">
        <is>
          <t>Yes</t>
        </is>
      </c>
      <c r="H358" s="21" t="n">
        <v>46106</v>
      </c>
      <c r="I358" s="25" t="inlineStr">
        <is>
          <t>Yes</t>
        </is>
      </c>
      <c r="J358" s="21" t="n">
        <v>46112</v>
      </c>
      <c r="K358" s="24" t="n">
        <v>1323</v>
      </c>
      <c r="L358" s="22">
        <f>IF(G358="Yes", H358-B358, "")</f>
        <v/>
      </c>
      <c r="M358" s="22">
        <f>IF(I358="Yes", J358-H358, "")</f>
        <v/>
      </c>
      <c r="N358" s="22">
        <f>IF(I358="Yes", J358-B358, "")</f>
        <v/>
      </c>
    </row>
    <row r="359">
      <c r="A359" s="20" t="inlineStr">
        <is>
          <t>LD-1091</t>
        </is>
      </c>
      <c r="B359" s="16" t="n">
        <v>46132</v>
      </c>
      <c r="C359" s="32" t="inlineStr">
        <is>
          <t>Core Global</t>
        </is>
      </c>
      <c r="D359" s="32" t="inlineStr">
        <is>
          <t>info@coreglobal.com</t>
        </is>
      </c>
      <c r="E359" s="20" t="inlineStr">
        <is>
          <t>Organic / Direct</t>
        </is>
      </c>
      <c r="F359" s="20" t="inlineStr">
        <is>
          <t>Mid-Market</t>
        </is>
      </c>
      <c r="G359" s="20" t="inlineStr">
        <is>
          <t>No</t>
        </is>
      </c>
      <c r="H359" s="16" t="n"/>
      <c r="I359" s="20" t="inlineStr">
        <is>
          <t>No</t>
        </is>
      </c>
      <c r="J359" s="16" t="n"/>
      <c r="K359" s="19" t="n">
        <v/>
      </c>
      <c r="L359" s="17">
        <f>IF(G359="Yes", H359-B359, "")</f>
        <v/>
      </c>
      <c r="M359" s="17">
        <f>IF(I359="Yes", J359-H359, "")</f>
        <v/>
      </c>
      <c r="N359" s="17">
        <f>IF(I359="Yes", J359-B359, "")</f>
        <v/>
      </c>
    </row>
    <row r="360">
      <c r="A360" s="25" t="inlineStr">
        <is>
          <t>LD-1104</t>
        </is>
      </c>
      <c r="B360" s="21" t="n">
        <v>46151</v>
      </c>
      <c r="C360" s="31" t="inlineStr">
        <is>
          <t>Sovereign LLC</t>
        </is>
      </c>
      <c r="D360" s="31" t="inlineStr">
        <is>
          <t>info@sovereignllc.com</t>
        </is>
      </c>
      <c r="E360" s="25" t="inlineStr">
        <is>
          <t>Cold Outreach</t>
        </is>
      </c>
      <c r="F360" s="25" t="inlineStr">
        <is>
          <t>Mid-Market</t>
        </is>
      </c>
      <c r="G360" s="25" t="inlineStr">
        <is>
          <t>No</t>
        </is>
      </c>
      <c r="H360" s="21" t="n"/>
      <c r="I360" s="25" t="inlineStr">
        <is>
          <t>No</t>
        </is>
      </c>
      <c r="J360" s="21" t="n"/>
      <c r="K360" s="24" t="n">
        <v/>
      </c>
      <c r="L360" s="22">
        <f>IF(G360="Yes", H360-B360, "")</f>
        <v/>
      </c>
      <c r="M360" s="22">
        <f>IF(I360="Yes", J360-H360, "")</f>
        <v/>
      </c>
      <c r="N360" s="22">
        <f>IF(I360="Yes", J360-B360, "")</f>
        <v/>
      </c>
    </row>
    <row r="361">
      <c r="A361" s="20" t="inlineStr">
        <is>
          <t>LD-1368</t>
        </is>
      </c>
      <c r="B361" s="16" t="n">
        <v>46087</v>
      </c>
      <c r="C361" s="32" t="inlineStr">
        <is>
          <t>Alpha Partners</t>
        </is>
      </c>
      <c r="D361" s="32" t="inlineStr">
        <is>
          <t>info@alphapartners.com</t>
        </is>
      </c>
      <c r="E361" s="20" t="inlineStr">
        <is>
          <t>Google</t>
        </is>
      </c>
      <c r="F361" s="20" t="inlineStr">
        <is>
          <t>Mid-Market</t>
        </is>
      </c>
      <c r="G361" s="20" t="inlineStr">
        <is>
          <t>Yes</t>
        </is>
      </c>
      <c r="H361" s="16" t="n">
        <v>46088</v>
      </c>
      <c r="I361" s="20" t="inlineStr">
        <is>
          <t>No</t>
        </is>
      </c>
      <c r="J361" s="16" t="n"/>
      <c r="K361" s="19" t="n">
        <v/>
      </c>
      <c r="L361" s="17">
        <f>IF(G361="Yes", H361-B361, "")</f>
        <v/>
      </c>
      <c r="M361" s="17">
        <f>IF(I361="Yes", J361-H361, "")</f>
        <v/>
      </c>
      <c r="N361" s="17">
        <f>IF(I361="Yes", J361-B361, "")</f>
        <v/>
      </c>
    </row>
    <row r="362">
      <c r="A362" s="25" t="inlineStr">
        <is>
          <t>LD-1541</t>
        </is>
      </c>
      <c r="B362" s="21" t="n">
        <v>46119</v>
      </c>
      <c r="C362" s="31" t="inlineStr">
        <is>
          <t>Pulse Inc</t>
        </is>
      </c>
      <c r="D362" s="31" t="inlineStr">
        <is>
          <t>info@pulseinc.com</t>
        </is>
      </c>
      <c r="E362" s="25" t="inlineStr">
        <is>
          <t>LinkedIn</t>
        </is>
      </c>
      <c r="F362" s="25" t="inlineStr">
        <is>
          <t>SMB</t>
        </is>
      </c>
      <c r="G362" s="25" t="inlineStr">
        <is>
          <t>No</t>
        </is>
      </c>
      <c r="H362" s="21" t="n"/>
      <c r="I362" s="25" t="inlineStr">
        <is>
          <t>No</t>
        </is>
      </c>
      <c r="J362" s="21" t="n"/>
      <c r="K362" s="24" t="n">
        <v/>
      </c>
      <c r="L362" s="22">
        <f>IF(G362="Yes", H362-B362, "")</f>
        <v/>
      </c>
      <c r="M362" s="22">
        <f>IF(I362="Yes", J362-H362, "")</f>
        <v/>
      </c>
      <c r="N362" s="22">
        <f>IF(I362="Yes", J362-B362, "")</f>
        <v/>
      </c>
    </row>
    <row r="363">
      <c r="A363" s="20" t="inlineStr">
        <is>
          <t>LD-1236</t>
        </is>
      </c>
      <c r="B363" s="16" t="n">
        <v>46116</v>
      </c>
      <c r="C363" s="32" t="inlineStr">
        <is>
          <t>Nova Group</t>
        </is>
      </c>
      <c r="D363" s="32" t="inlineStr">
        <is>
          <t>info@novagroup.com</t>
        </is>
      </c>
      <c r="E363" s="20" t="inlineStr">
        <is>
          <t>Referral</t>
        </is>
      </c>
      <c r="F363" s="20" t="inlineStr">
        <is>
          <t>SMB</t>
        </is>
      </c>
      <c r="G363" s="20" t="inlineStr">
        <is>
          <t>Yes</t>
        </is>
      </c>
      <c r="H363" s="16" t="n">
        <v>46120</v>
      </c>
      <c r="I363" s="20" t="inlineStr">
        <is>
          <t>No</t>
        </is>
      </c>
      <c r="J363" s="16" t="n"/>
      <c r="K363" s="19" t="n">
        <v/>
      </c>
      <c r="L363" s="17">
        <f>IF(G363="Yes", H363-B363, "")</f>
        <v/>
      </c>
      <c r="M363" s="17">
        <f>IF(I363="Yes", J363-H363, "")</f>
        <v/>
      </c>
      <c r="N363" s="17">
        <f>IF(I363="Yes", J363-B363, "")</f>
        <v/>
      </c>
    </row>
    <row r="364">
      <c r="A364" s="25" t="inlineStr">
        <is>
          <t>LD-1042</t>
        </is>
      </c>
      <c r="B364" s="21" t="n">
        <v>46104</v>
      </c>
      <c r="C364" s="31" t="inlineStr">
        <is>
          <t>Stellar LLC</t>
        </is>
      </c>
      <c r="D364" s="31" t="inlineStr">
        <is>
          <t>info@stellarllc.com</t>
        </is>
      </c>
      <c r="E364" s="25" t="inlineStr">
        <is>
          <t>LinkedIn</t>
        </is>
      </c>
      <c r="F364" s="25" t="inlineStr">
        <is>
          <t>SMB</t>
        </is>
      </c>
      <c r="G364" s="25" t="inlineStr">
        <is>
          <t>Yes</t>
        </is>
      </c>
      <c r="H364" s="21" t="n">
        <v>46114</v>
      </c>
      <c r="I364" s="25" t="inlineStr">
        <is>
          <t>No</t>
        </is>
      </c>
      <c r="J364" s="21" t="n"/>
      <c r="K364" s="24" t="n">
        <v/>
      </c>
      <c r="L364" s="22">
        <f>IF(G364="Yes", H364-B364, "")</f>
        <v/>
      </c>
      <c r="M364" s="22">
        <f>IF(I364="Yes", J364-H364, "")</f>
        <v/>
      </c>
      <c r="N364" s="22">
        <f>IF(I364="Yes", J364-B364, "")</f>
        <v/>
      </c>
    </row>
    <row r="365">
      <c r="A365" s="20" t="inlineStr">
        <is>
          <t>LD-1175</t>
        </is>
      </c>
      <c r="B365" s="16" t="n">
        <v>46122</v>
      </c>
      <c r="C365" s="32" t="inlineStr">
        <is>
          <t>Summit Partners</t>
        </is>
      </c>
      <c r="D365" s="32" t="inlineStr">
        <is>
          <t>info@summitpartners.com</t>
        </is>
      </c>
      <c r="E365" s="20" t="inlineStr">
        <is>
          <t>LinkedIn</t>
        </is>
      </c>
      <c r="F365" s="20" t="inlineStr">
        <is>
          <t>Mid-Market</t>
        </is>
      </c>
      <c r="G365" s="20" t="inlineStr">
        <is>
          <t>Yes</t>
        </is>
      </c>
      <c r="H365" s="16" t="n">
        <v>46129</v>
      </c>
      <c r="I365" s="20" t="inlineStr">
        <is>
          <t>No</t>
        </is>
      </c>
      <c r="J365" s="16" t="n"/>
      <c r="K365" s="19" t="n">
        <v/>
      </c>
      <c r="L365" s="17">
        <f>IF(G365="Yes", H365-B365, "")</f>
        <v/>
      </c>
      <c r="M365" s="17">
        <f>IF(I365="Yes", J365-H365, "")</f>
        <v/>
      </c>
      <c r="N365" s="17">
        <f>IF(I365="Yes", J365-B365, "")</f>
        <v/>
      </c>
    </row>
    <row r="366">
      <c r="A366" s="25" t="inlineStr">
        <is>
          <t>LD-1527</t>
        </is>
      </c>
      <c r="B366" s="21" t="n">
        <v>46158</v>
      </c>
      <c r="C366" s="31" t="inlineStr">
        <is>
          <t>Apex Corp</t>
        </is>
      </c>
      <c r="D366" s="31" t="inlineStr">
        <is>
          <t>info@apexcorp.com</t>
        </is>
      </c>
      <c r="E366" s="25" t="inlineStr">
        <is>
          <t>LinkedIn</t>
        </is>
      </c>
      <c r="F366" s="25" t="inlineStr">
        <is>
          <t>SMB</t>
        </is>
      </c>
      <c r="G366" s="25" t="inlineStr">
        <is>
          <t>Yes</t>
        </is>
      </c>
      <c r="H366" s="21" t="n">
        <v>46163</v>
      </c>
      <c r="I366" s="25" t="inlineStr">
        <is>
          <t>Yes</t>
        </is>
      </c>
      <c r="J366" s="21" t="n">
        <v>46177</v>
      </c>
      <c r="K366" s="24" t="n">
        <v>181</v>
      </c>
      <c r="L366" s="22">
        <f>IF(G366="Yes", H366-B366, "")</f>
        <v/>
      </c>
      <c r="M366" s="22">
        <f>IF(I366="Yes", J366-H366, "")</f>
        <v/>
      </c>
      <c r="N366" s="22">
        <f>IF(I366="Yes", J366-B366, "")</f>
        <v/>
      </c>
    </row>
    <row r="367">
      <c r="A367" s="20" t="inlineStr">
        <is>
          <t>LD-1188</t>
        </is>
      </c>
      <c r="B367" s="16" t="n">
        <v>46108</v>
      </c>
      <c r="C367" s="32" t="inlineStr">
        <is>
          <t>Zenith Co</t>
        </is>
      </c>
      <c r="D367" s="32" t="inlineStr">
        <is>
          <t>info@zenithco.com</t>
        </is>
      </c>
      <c r="E367" s="20" t="inlineStr">
        <is>
          <t>Organic / Direct</t>
        </is>
      </c>
      <c r="F367" s="20" t="inlineStr">
        <is>
          <t>Enterprise</t>
        </is>
      </c>
      <c r="G367" s="20" t="inlineStr">
        <is>
          <t>Yes</t>
        </is>
      </c>
      <c r="H367" s="16" t="n">
        <v>46110</v>
      </c>
      <c r="I367" s="20" t="inlineStr">
        <is>
          <t>No</t>
        </is>
      </c>
      <c r="J367" s="16" t="n"/>
      <c r="K367" s="19" t="n">
        <v/>
      </c>
      <c r="L367" s="17">
        <f>IF(G367="Yes", H367-B367, "")</f>
        <v/>
      </c>
      <c r="M367" s="17">
        <f>IF(I367="Yes", J367-H367, "")</f>
        <v/>
      </c>
      <c r="N367" s="17">
        <f>IF(I367="Yes", J367-B367, "")</f>
        <v/>
      </c>
    </row>
    <row r="368">
      <c r="A368" s="25" t="inlineStr">
        <is>
          <t>LD-1047</t>
        </is>
      </c>
      <c r="B368" s="21" t="n">
        <v>46141</v>
      </c>
      <c r="C368" s="31" t="inlineStr">
        <is>
          <t>Pulse Co</t>
        </is>
      </c>
      <c r="D368" s="31" t="inlineStr">
        <is>
          <t>info@pulseco.com</t>
        </is>
      </c>
      <c r="E368" s="25" t="inlineStr">
        <is>
          <t>Cold Outreach</t>
        </is>
      </c>
      <c r="F368" s="25" t="inlineStr">
        <is>
          <t>Enterprise</t>
        </is>
      </c>
      <c r="G368" s="25" t="inlineStr">
        <is>
          <t>No</t>
        </is>
      </c>
      <c r="H368" s="21" t="n"/>
      <c r="I368" s="25" t="inlineStr">
        <is>
          <t>No</t>
        </is>
      </c>
      <c r="J368" s="21" t="n"/>
      <c r="K368" s="24" t="n">
        <v/>
      </c>
      <c r="L368" s="22">
        <f>IF(G368="Yes", H368-B368, "")</f>
        <v/>
      </c>
      <c r="M368" s="22">
        <f>IF(I368="Yes", J368-H368, "")</f>
        <v/>
      </c>
      <c r="N368" s="22">
        <f>IF(I368="Yes", J368-B368, "")</f>
        <v/>
      </c>
    </row>
    <row r="369"/>
    <row r="370">
      <c r="A370" s="25" t="inlineStr">
        <is>
          <t>LD-1535</t>
        </is>
      </c>
      <c r="B370" s="21" t="n">
        <v>46150</v>
      </c>
      <c r="C370" s="31" t="inlineStr">
        <is>
          <t>Shift LLC</t>
        </is>
      </c>
      <c r="D370" s="31" t="inlineStr">
        <is>
          <t>info@shiftllc.com</t>
        </is>
      </c>
      <c r="E370" s="25" t="inlineStr">
        <is>
          <t>Google</t>
        </is>
      </c>
      <c r="F370" s="25" t="inlineStr">
        <is>
          <t>Mid-Market</t>
        </is>
      </c>
      <c r="G370" s="25" t="inlineStr">
        <is>
          <t>Yes</t>
        </is>
      </c>
      <c r="H370" s="21" t="n">
        <v>46156</v>
      </c>
      <c r="I370" s="25" t="inlineStr">
        <is>
          <t>Yes</t>
        </is>
      </c>
      <c r="J370" s="21" t="n">
        <v>46174</v>
      </c>
      <c r="K370" s="24" t="n">
        <v>1303</v>
      </c>
      <c r="L370" s="22">
        <f>IF(G370="Yes", H370-B370, "")</f>
        <v/>
      </c>
      <c r="M370" s="22">
        <f>IF(I370="Yes", J370-H370, "")</f>
        <v/>
      </c>
      <c r="N370" s="22">
        <f>IF(I370="Yes", J370-B370, "")</f>
        <v/>
      </c>
    </row>
    <row r="371">
      <c r="A371" s="20" t="inlineStr">
        <is>
          <t>LD-1029</t>
        </is>
      </c>
      <c r="B371" s="16" t="n">
        <v>46150</v>
      </c>
      <c r="C371" s="32" t="inlineStr">
        <is>
          <t>Beacon Group</t>
        </is>
      </c>
      <c r="D371" s="32" t="inlineStr">
        <is>
          <t>info@beacongroup.com</t>
        </is>
      </c>
      <c r="E371" s="20" t="inlineStr">
        <is>
          <t>LinkedIn</t>
        </is>
      </c>
      <c r="F371" s="20" t="inlineStr">
        <is>
          <t>Mid-Market</t>
        </is>
      </c>
      <c r="G371" s="20" t="inlineStr">
        <is>
          <t>Yes</t>
        </is>
      </c>
      <c r="H371" s="16" t="n">
        <v>46158</v>
      </c>
      <c r="I371" s="20" t="inlineStr">
        <is>
          <t>No</t>
        </is>
      </c>
      <c r="J371" s="16" t="n"/>
      <c r="K371" s="19" t="n">
        <v/>
      </c>
      <c r="L371" s="17">
        <f>IF(G371="Yes", H371-B371, "")</f>
        <v/>
      </c>
      <c r="M371" s="17">
        <f>IF(I371="Yes", J371-H371, "")</f>
        <v/>
      </c>
      <c r="N371" s="17">
        <f>IF(I371="Yes", J371-B371, "")</f>
        <v/>
      </c>
    </row>
    <row r="372">
      <c r="A372" s="25" t="inlineStr">
        <is>
          <t>LD-1206</t>
        </is>
      </c>
      <c r="B372" s="21" t="n">
        <v>46090</v>
      </c>
      <c r="C372" s="31" t="inlineStr">
        <is>
          <t>Stellar LLC</t>
        </is>
      </c>
      <c r="D372" s="31" t="inlineStr">
        <is>
          <t>info@stellarllc.com</t>
        </is>
      </c>
      <c r="E372" s="25" t="inlineStr">
        <is>
          <t>Webinar</t>
        </is>
      </c>
      <c r="F372" s="25" t="inlineStr">
        <is>
          <t>Enterprise</t>
        </is>
      </c>
      <c r="G372" s="25" t="inlineStr">
        <is>
          <t>Yes</t>
        </is>
      </c>
      <c r="H372" s="21" t="n">
        <v>46097</v>
      </c>
      <c r="I372" s="25" t="inlineStr">
        <is>
          <t>No</t>
        </is>
      </c>
      <c r="J372" s="21" t="n"/>
      <c r="K372" s="24" t="n">
        <v/>
      </c>
      <c r="L372" s="22">
        <f>IF(G372="Yes", H372-B372, "")</f>
        <v/>
      </c>
      <c r="M372" s="22">
        <f>IF(I372="Yes", J372-H372, "")</f>
        <v/>
      </c>
      <c r="N372" s="22">
        <f>IF(I372="Yes", J372-B372, "")</f>
        <v/>
      </c>
    </row>
    <row r="373">
      <c r="A373" s="20" t="inlineStr">
        <is>
          <t>LD-1156</t>
        </is>
      </c>
      <c r="B373" s="16" t="n">
        <v>46148</v>
      </c>
      <c r="C373" s="32" t="inlineStr">
        <is>
          <t>Nova LLC</t>
        </is>
      </c>
      <c r="D373" s="32" t="inlineStr">
        <is>
          <t>info@novallc.com</t>
        </is>
      </c>
      <c r="E373" s="20" t="inlineStr">
        <is>
          <t>Google</t>
        </is>
      </c>
      <c r="F373" s="20" t="inlineStr">
        <is>
          <t>Enterprise</t>
        </is>
      </c>
      <c r="G373" s="20" t="inlineStr">
        <is>
          <t>Yes</t>
        </is>
      </c>
      <c r="H373" s="16" t="n">
        <v>46150</v>
      </c>
      <c r="I373" s="20" t="inlineStr">
        <is>
          <t>Yes</t>
        </is>
      </c>
      <c r="J373" s="16" t="n">
        <v>46164</v>
      </c>
      <c r="K373" s="19" t="n">
        <v>5510</v>
      </c>
      <c r="L373" s="17">
        <f>IF(G373="Yes", H373-B373, "")</f>
        <v/>
      </c>
      <c r="M373" s="17">
        <f>IF(I373="Yes", J373-H373, "")</f>
        <v/>
      </c>
      <c r="N373" s="17">
        <f>IF(I373="Yes", J373-B373, "")</f>
        <v/>
      </c>
    </row>
    <row r="374">
      <c r="A374" s="25" t="inlineStr">
        <is>
          <t>LD-1350</t>
        </is>
      </c>
      <c r="B374" s="21" t="n">
        <v>46166</v>
      </c>
      <c r="C374" s="31" t="inlineStr">
        <is>
          <t>Cloud Technologies</t>
        </is>
      </c>
      <c r="D374" s="31" t="inlineStr">
        <is>
          <t>info@cloudtechnologies.com</t>
        </is>
      </c>
      <c r="E374" s="25" t="inlineStr">
        <is>
          <t>Referral</t>
        </is>
      </c>
      <c r="F374" s="25" t="inlineStr">
        <is>
          <t>SMB</t>
        </is>
      </c>
      <c r="G374" s="25" t="inlineStr">
        <is>
          <t>Yes</t>
        </is>
      </c>
      <c r="H374" s="21" t="n">
        <v>46176</v>
      </c>
      <c r="I374" s="25" t="inlineStr">
        <is>
          <t>Yes</t>
        </is>
      </c>
      <c r="J374" s="21" t="n">
        <v>46184</v>
      </c>
      <c r="K374" s="24" t="n">
        <v>300</v>
      </c>
      <c r="L374" s="22">
        <f>IF(G374="Yes", H374-B374, "")</f>
        <v/>
      </c>
      <c r="M374" s="22">
        <f>IF(I374="Yes", J374-H374, "")</f>
        <v/>
      </c>
      <c r="N374" s="22">
        <f>IF(I374="Yes", J374-B374, "")</f>
        <v/>
      </c>
    </row>
    <row r="375">
      <c r="A375" s="20" t="inlineStr">
        <is>
          <t>LD-1444</t>
        </is>
      </c>
      <c r="B375" s="16" t="n">
        <v>46142</v>
      </c>
      <c r="C375" s="32" t="inlineStr">
        <is>
          <t>Acme LLC</t>
        </is>
      </c>
      <c r="D375" s="32" t="inlineStr">
        <is>
          <t>info@acmellc.com</t>
        </is>
      </c>
      <c r="E375" s="20" t="inlineStr">
        <is>
          <t>Google</t>
        </is>
      </c>
      <c r="F375" s="20" t="inlineStr">
        <is>
          <t>Mid-Market</t>
        </is>
      </c>
      <c r="G375" s="20" t="inlineStr">
        <is>
          <t>Yes</t>
        </is>
      </c>
      <c r="H375" s="16" t="n">
        <v>46144</v>
      </c>
      <c r="I375" s="20" t="inlineStr">
        <is>
          <t>No</t>
        </is>
      </c>
      <c r="J375" s="16" t="n"/>
      <c r="K375" s="19" t="n">
        <v/>
      </c>
      <c r="L375" s="17">
        <f>IF(G375="Yes", H375-B375, "")</f>
        <v/>
      </c>
      <c r="M375" s="17">
        <f>IF(I375="Yes", J375-H375, "")</f>
        <v/>
      </c>
      <c r="N375" s="17">
        <f>IF(I375="Yes", J375-B375, "")</f>
        <v/>
      </c>
    </row>
    <row r="376">
      <c r="A376" s="25" t="inlineStr">
        <is>
          <t>LD-1184</t>
        </is>
      </c>
      <c r="B376" s="21" t="n">
        <v>46130</v>
      </c>
      <c r="C376" s="31" t="inlineStr">
        <is>
          <t>Synergy Inc</t>
        </is>
      </c>
      <c r="D376" s="31" t="inlineStr">
        <is>
          <t>info@synergyinc.com</t>
        </is>
      </c>
      <c r="E376" s="25" t="inlineStr">
        <is>
          <t>LinkedIn</t>
        </is>
      </c>
      <c r="F376" s="25" t="inlineStr">
        <is>
          <t>SMB</t>
        </is>
      </c>
      <c r="G376" s="25" t="inlineStr">
        <is>
          <t>Yes</t>
        </is>
      </c>
      <c r="H376" s="21" t="n">
        <v>46137</v>
      </c>
      <c r="I376" s="25" t="inlineStr">
        <is>
          <t>Yes</t>
        </is>
      </c>
      <c r="J376" s="21" t="n">
        <v>46148</v>
      </c>
      <c r="K376" s="24" t="n">
        <v>205</v>
      </c>
      <c r="L376" s="22">
        <f>IF(G376="Yes", H376-B376, "")</f>
        <v/>
      </c>
      <c r="M376" s="22">
        <f>IF(I376="Yes", J376-H376, "")</f>
        <v/>
      </c>
      <c r="N376" s="22">
        <f>IF(I376="Yes", J376-B376, "")</f>
        <v/>
      </c>
    </row>
    <row r="377">
      <c r="A377" s="20" t="inlineStr">
        <is>
          <t>LD-1275</t>
        </is>
      </c>
      <c r="B377" s="16" t="n">
        <v>46122</v>
      </c>
      <c r="C377" s="32" t="inlineStr">
        <is>
          <t>Shift LLC</t>
        </is>
      </c>
      <c r="D377" s="32" t="inlineStr">
        <is>
          <t>info@shiftllc.com</t>
        </is>
      </c>
      <c r="E377" s="20" t="inlineStr">
        <is>
          <t>Organic / Direct</t>
        </is>
      </c>
      <c r="F377" s="20" t="inlineStr">
        <is>
          <t>Mid-Market</t>
        </is>
      </c>
      <c r="G377" s="20" t="inlineStr">
        <is>
          <t>No</t>
        </is>
      </c>
      <c r="H377" s="16" t="n"/>
      <c r="I377" s="20" t="inlineStr">
        <is>
          <t>No</t>
        </is>
      </c>
      <c r="J377" s="16" t="n"/>
      <c r="K377" s="19" t="n">
        <v/>
      </c>
      <c r="L377" s="17">
        <f>IF(G377="Yes", H377-B377, "")</f>
        <v/>
      </c>
      <c r="M377" s="17">
        <f>IF(I377="Yes", J377-H377, "")</f>
        <v/>
      </c>
      <c r="N377" s="17">
        <f>IF(I377="Yes", J377-B377, "")</f>
        <v/>
      </c>
    </row>
    <row r="378">
      <c r="A378" s="25" t="inlineStr">
        <is>
          <t>LD-1291</t>
        </is>
      </c>
      <c r="B378" s="21" t="n">
        <v>46098</v>
      </c>
      <c r="C378" s="31" t="inlineStr">
        <is>
          <t>Beacon Co</t>
        </is>
      </c>
      <c r="D378" s="31" t="inlineStr">
        <is>
          <t>info@beaconco.com</t>
        </is>
      </c>
      <c r="E378" s="25" t="inlineStr">
        <is>
          <t>Organic / Direct</t>
        </is>
      </c>
      <c r="F378" s="25" t="inlineStr">
        <is>
          <t>Mid-Market</t>
        </is>
      </c>
      <c r="G378" s="25" t="inlineStr">
        <is>
          <t>Yes</t>
        </is>
      </c>
      <c r="H378" s="21" t="n">
        <v>46103</v>
      </c>
      <c r="I378" s="25" t="inlineStr">
        <is>
          <t>Yes</t>
        </is>
      </c>
      <c r="J378" s="21" t="n">
        <v>46114</v>
      </c>
      <c r="K378" s="24" t="n">
        <v>639</v>
      </c>
      <c r="L378" s="22">
        <f>IF(G378="Yes", H378-B378, "")</f>
        <v/>
      </c>
      <c r="M378" s="22">
        <f>IF(I378="Yes", J378-H378, "")</f>
        <v/>
      </c>
      <c r="N378" s="22">
        <f>IF(I378="Yes", J378-B378, "")</f>
        <v/>
      </c>
    </row>
    <row r="379">
      <c r="A379" s="20" t="inlineStr">
        <is>
          <t>LD-1490</t>
        </is>
      </c>
      <c r="B379" s="16" t="n">
        <v>46087</v>
      </c>
      <c r="C379" s="32" t="inlineStr">
        <is>
          <t>Cloud Technologies</t>
        </is>
      </c>
      <c r="D379" s="32" t="inlineStr">
        <is>
          <t>info@cloudtechnologies.com</t>
        </is>
      </c>
      <c r="E379" s="20" t="inlineStr">
        <is>
          <t>Google</t>
        </is>
      </c>
      <c r="F379" s="20" t="inlineStr">
        <is>
          <t>SMB</t>
        </is>
      </c>
      <c r="G379" s="20" t="inlineStr">
        <is>
          <t>Yes</t>
        </is>
      </c>
      <c r="H379" s="16" t="n">
        <v>46093</v>
      </c>
      <c r="I379" s="20" t="inlineStr">
        <is>
          <t>No</t>
        </is>
      </c>
      <c r="J379" s="16" t="n"/>
      <c r="K379" s="19" t="n">
        <v/>
      </c>
      <c r="L379" s="17">
        <f>IF(G379="Yes", H379-B379, "")</f>
        <v/>
      </c>
      <c r="M379" s="17">
        <f>IF(I379="Yes", J379-H379, "")</f>
        <v/>
      </c>
      <c r="N379" s="17">
        <f>IF(I379="Yes", J379-B379, "")</f>
        <v/>
      </c>
    </row>
    <row r="380">
      <c r="A380" s="25" t="inlineStr">
        <is>
          <t>LD-1247</t>
        </is>
      </c>
      <c r="B380" s="21" t="n">
        <v>46126</v>
      </c>
      <c r="C380" s="31" t="inlineStr">
        <is>
          <t>Alpha Partners</t>
        </is>
      </c>
      <c r="D380" s="31" t="inlineStr">
        <is>
          <t>info@alphapartners.com</t>
        </is>
      </c>
      <c r="E380" s="25" t="inlineStr">
        <is>
          <t>Organic / Direct</t>
        </is>
      </c>
      <c r="F380" s="25" t="inlineStr">
        <is>
          <t>Enterprise</t>
        </is>
      </c>
      <c r="G380" s="25" t="inlineStr">
        <is>
          <t>Yes</t>
        </is>
      </c>
      <c r="H380" s="21" t="n">
        <v>46132</v>
      </c>
      <c r="I380" s="25" t="inlineStr">
        <is>
          <t>No</t>
        </is>
      </c>
      <c r="J380" s="21" t="n"/>
      <c r="K380" s="24" t="n">
        <v/>
      </c>
      <c r="L380" s="22">
        <f>IF(G380="Yes", H380-B380, "")</f>
        <v/>
      </c>
      <c r="M380" s="22">
        <f>IF(I380="Yes", J380-H380, "")</f>
        <v/>
      </c>
      <c r="N380" s="22">
        <f>IF(I380="Yes", J380-B380, "")</f>
        <v/>
      </c>
    </row>
    <row r="381">
      <c r="A381" s="20" t="inlineStr">
        <is>
          <t>LD-1353</t>
        </is>
      </c>
      <c r="B381" s="16" t="n">
        <v>46096</v>
      </c>
      <c r="C381" s="32" t="inlineStr">
        <is>
          <t>Zenith Group</t>
        </is>
      </c>
      <c r="D381" s="32" t="inlineStr">
        <is>
          <t>info@zenithgroup.com</t>
        </is>
      </c>
      <c r="E381" s="20" t="inlineStr">
        <is>
          <t>Google</t>
        </is>
      </c>
      <c r="F381" s="20" t="inlineStr">
        <is>
          <t>Enterprise</t>
        </is>
      </c>
      <c r="G381" s="20" t="inlineStr">
        <is>
          <t>No</t>
        </is>
      </c>
      <c r="H381" s="16" t="n"/>
      <c r="I381" s="20" t="inlineStr">
        <is>
          <t>No</t>
        </is>
      </c>
      <c r="J381" s="16" t="n"/>
      <c r="K381" s="19" t="n">
        <v/>
      </c>
      <c r="L381" s="17">
        <f>IF(G381="Yes", H381-B381, "")</f>
        <v/>
      </c>
      <c r="M381" s="17">
        <f>IF(I381="Yes", J381-H381, "")</f>
        <v/>
      </c>
      <c r="N381" s="17">
        <f>IF(I381="Yes", J381-B381, "")</f>
        <v/>
      </c>
    </row>
    <row r="382">
      <c r="A382" s="25" t="inlineStr">
        <is>
          <t>LD-1197</t>
        </is>
      </c>
      <c r="B382" s="21" t="n">
        <v>46094</v>
      </c>
      <c r="C382" s="31" t="inlineStr">
        <is>
          <t>Sovereign Partners</t>
        </is>
      </c>
      <c r="D382" s="31" t="inlineStr">
        <is>
          <t>info@sovereignpartners.com</t>
        </is>
      </c>
      <c r="E382" s="25" t="inlineStr">
        <is>
          <t>LinkedIn</t>
        </is>
      </c>
      <c r="F382" s="25" t="inlineStr">
        <is>
          <t>Mid-Market</t>
        </is>
      </c>
      <c r="G382" s="25" t="inlineStr">
        <is>
          <t>Yes</t>
        </is>
      </c>
      <c r="H382" s="21" t="n">
        <v>46099</v>
      </c>
      <c r="I382" s="25" t="inlineStr">
        <is>
          <t>No</t>
        </is>
      </c>
      <c r="J382" s="21" t="n"/>
      <c r="K382" s="24" t="n">
        <v/>
      </c>
      <c r="L382" s="22">
        <f>IF(G382="Yes", H382-B382, "")</f>
        <v/>
      </c>
      <c r="M382" s="22">
        <f>IF(I382="Yes", J382-H382, "")</f>
        <v/>
      </c>
      <c r="N382" s="22">
        <f>IF(I382="Yes", J382-B382, "")</f>
        <v/>
      </c>
    </row>
    <row r="383">
      <c r="A383" s="20" t="inlineStr">
        <is>
          <t>LD-1180</t>
        </is>
      </c>
      <c r="B383" s="16" t="n">
        <v>46148</v>
      </c>
      <c r="C383" s="32" t="inlineStr">
        <is>
          <t>Bold Global</t>
        </is>
      </c>
      <c r="D383" s="32" t="inlineStr">
        <is>
          <t>info@boldglobal.com</t>
        </is>
      </c>
      <c r="E383" s="20" t="inlineStr">
        <is>
          <t>LinkedIn</t>
        </is>
      </c>
      <c r="F383" s="20" t="inlineStr">
        <is>
          <t>SMB</t>
        </is>
      </c>
      <c r="G383" s="20" t="inlineStr">
        <is>
          <t>Yes</t>
        </is>
      </c>
      <c r="H383" s="16" t="n">
        <v>46158</v>
      </c>
      <c r="I383" s="20" t="inlineStr">
        <is>
          <t>No</t>
        </is>
      </c>
      <c r="J383" s="16" t="n"/>
      <c r="K383" s="19" t="n">
        <v/>
      </c>
      <c r="L383" s="17">
        <f>IF(G383="Yes", H383-B383, "")</f>
        <v/>
      </c>
      <c r="M383" s="17">
        <f>IF(I383="Yes", J383-H383, "")</f>
        <v/>
      </c>
      <c r="N383" s="17">
        <f>IF(I383="Yes", J383-B383, "")</f>
        <v/>
      </c>
    </row>
    <row r="384">
      <c r="A384" s="25" t="inlineStr">
        <is>
          <t>LD-1116</t>
        </is>
      </c>
      <c r="B384" s="21" t="n">
        <v>46114</v>
      </c>
      <c r="C384" s="31" t="inlineStr">
        <is>
          <t>Sovereign Partners</t>
        </is>
      </c>
      <c r="D384" s="31" t="inlineStr">
        <is>
          <t>info@sovereignpartners.com</t>
        </is>
      </c>
      <c r="E384" s="25" t="inlineStr">
        <is>
          <t>Google</t>
        </is>
      </c>
      <c r="F384" s="25" t="inlineStr">
        <is>
          <t>Mid-Market</t>
        </is>
      </c>
      <c r="G384" s="25" t="inlineStr">
        <is>
          <t>Yes</t>
        </is>
      </c>
      <c r="H384" s="21" t="n">
        <v>46120</v>
      </c>
      <c r="I384" s="25" t="inlineStr">
        <is>
          <t>No</t>
        </is>
      </c>
      <c r="J384" s="21" t="n"/>
      <c r="K384" s="24" t="n">
        <v/>
      </c>
      <c r="L384" s="22">
        <f>IF(G384="Yes", H384-B384, "")</f>
        <v/>
      </c>
      <c r="M384" s="22">
        <f>IF(I384="Yes", J384-H384, "")</f>
        <v/>
      </c>
      <c r="N384" s="22">
        <f>IF(I384="Yes", J384-B384, "")</f>
        <v/>
      </c>
    </row>
    <row r="385">
      <c r="A385" s="20" t="inlineStr">
        <is>
          <t>LD-1427</t>
        </is>
      </c>
      <c r="B385" s="16" t="n">
        <v>46143</v>
      </c>
      <c r="C385" s="32" t="inlineStr">
        <is>
          <t>Nova LLC</t>
        </is>
      </c>
      <c r="D385" s="32" t="inlineStr">
        <is>
          <t>info@novallc.com</t>
        </is>
      </c>
      <c r="E385" s="20" t="inlineStr">
        <is>
          <t>Webinar</t>
        </is>
      </c>
      <c r="F385" s="20" t="inlineStr">
        <is>
          <t>Enterprise</t>
        </is>
      </c>
      <c r="G385" s="20" t="inlineStr">
        <is>
          <t>Yes</t>
        </is>
      </c>
      <c r="H385" s="16" t="n">
        <v>46149</v>
      </c>
      <c r="I385" s="20" t="inlineStr">
        <is>
          <t>No</t>
        </is>
      </c>
      <c r="J385" s="16" t="n"/>
      <c r="K385" s="19" t="n">
        <v/>
      </c>
      <c r="L385" s="17">
        <f>IF(G385="Yes", H385-B385, "")</f>
        <v/>
      </c>
      <c r="M385" s="17">
        <f>IF(I385="Yes", J385-H385, "")</f>
        <v/>
      </c>
      <c r="N385" s="17">
        <f>IF(I385="Yes", J385-B385, "")</f>
        <v/>
      </c>
    </row>
    <row r="386">
      <c r="A386" s="25" t="inlineStr">
        <is>
          <t>LD-1437</t>
        </is>
      </c>
      <c r="B386" s="21" t="n">
        <v>46104</v>
      </c>
      <c r="C386" s="31" t="inlineStr">
        <is>
          <t>Sovereign Global</t>
        </is>
      </c>
      <c r="D386" s="31" t="inlineStr">
        <is>
          <t>info@sovereignglobal.com</t>
        </is>
      </c>
      <c r="E386" s="25" t="inlineStr">
        <is>
          <t>Referral</t>
        </is>
      </c>
      <c r="F386" s="25" t="inlineStr">
        <is>
          <t>Mid-Market</t>
        </is>
      </c>
      <c r="G386" s="25" t="inlineStr">
        <is>
          <t>Yes</t>
        </is>
      </c>
      <c r="H386" s="21" t="n">
        <v>46114</v>
      </c>
      <c r="I386" s="25" t="inlineStr">
        <is>
          <t>Yes</t>
        </is>
      </c>
      <c r="J386" s="21" t="n">
        <v>46122</v>
      </c>
      <c r="K386" s="24" t="n">
        <v>1207</v>
      </c>
      <c r="L386" s="22">
        <f>IF(G386="Yes", H386-B386, "")</f>
        <v/>
      </c>
      <c r="M386" s="22">
        <f>IF(I386="Yes", J386-H386, "")</f>
        <v/>
      </c>
      <c r="N386" s="22">
        <f>IF(I386="Yes", J386-B386, "")</f>
        <v/>
      </c>
    </row>
    <row r="387">
      <c r="A387" s="20" t="inlineStr">
        <is>
          <t>LD-1474</t>
        </is>
      </c>
      <c r="B387" s="16" t="n">
        <v>46120</v>
      </c>
      <c r="C387" s="32" t="inlineStr">
        <is>
          <t>Core Inc</t>
        </is>
      </c>
      <c r="D387" s="32" t="inlineStr">
        <is>
          <t>info@coreinc.com</t>
        </is>
      </c>
      <c r="E387" s="20" t="inlineStr">
        <is>
          <t>LinkedIn</t>
        </is>
      </c>
      <c r="F387" s="20" t="inlineStr">
        <is>
          <t>Enterprise</t>
        </is>
      </c>
      <c r="G387" s="20" t="inlineStr">
        <is>
          <t>Yes</t>
        </is>
      </c>
      <c r="H387" s="16" t="n">
        <v>46130</v>
      </c>
      <c r="I387" s="20" t="inlineStr">
        <is>
          <t>Yes</t>
        </is>
      </c>
      <c r="J387" s="16" t="n">
        <v>46149</v>
      </c>
      <c r="K387" s="19" t="n">
        <v>4133</v>
      </c>
      <c r="L387" s="17">
        <f>IF(G387="Yes", H387-B387, "")</f>
        <v/>
      </c>
      <c r="M387" s="17">
        <f>IF(I387="Yes", J387-H387, "")</f>
        <v/>
      </c>
      <c r="N387" s="17">
        <f>IF(I387="Yes", J387-B387, "")</f>
        <v/>
      </c>
    </row>
    <row r="388">
      <c r="A388" s="25" t="inlineStr">
        <is>
          <t>LD-1207</t>
        </is>
      </c>
      <c r="B388" s="21" t="n">
        <v>46130</v>
      </c>
      <c r="C388" s="31" t="inlineStr">
        <is>
          <t>Pulse Group</t>
        </is>
      </c>
      <c r="D388" s="31" t="inlineStr">
        <is>
          <t>info@pulsegroup.com</t>
        </is>
      </c>
      <c r="E388" s="25" t="inlineStr">
        <is>
          <t>Google</t>
        </is>
      </c>
      <c r="F388" s="25" t="inlineStr">
        <is>
          <t>Enterprise</t>
        </is>
      </c>
      <c r="G388" s="25" t="inlineStr">
        <is>
          <t>Yes</t>
        </is>
      </c>
      <c r="H388" s="21" t="n">
        <v>46133</v>
      </c>
      <c r="I388" s="25" t="inlineStr">
        <is>
          <t>No</t>
        </is>
      </c>
      <c r="J388" s="21" t="n"/>
      <c r="K388" s="24" t="n">
        <v/>
      </c>
      <c r="L388" s="22">
        <f>IF(G388="Yes", H388-B388, "")</f>
        <v/>
      </c>
      <c r="M388" s="22">
        <f>IF(I388="Yes", J388-H388, "")</f>
        <v/>
      </c>
      <c r="N388" s="22">
        <f>IF(I388="Yes", J388-B388, "")</f>
        <v/>
      </c>
    </row>
    <row r="389">
      <c r="A389" s="20" t="inlineStr">
        <is>
          <t>LD-1224</t>
        </is>
      </c>
      <c r="B389" s="16" t="n">
        <v>46112</v>
      </c>
      <c r="C389" s="32" t="inlineStr">
        <is>
          <t>Cloud Technologies</t>
        </is>
      </c>
      <c r="D389" s="32" t="inlineStr">
        <is>
          <t>info@cloudtechnologies.com</t>
        </is>
      </c>
      <c r="E389" s="20" t="inlineStr">
        <is>
          <t>Referral</t>
        </is>
      </c>
      <c r="F389" s="20" t="inlineStr">
        <is>
          <t>SMB</t>
        </is>
      </c>
      <c r="G389" s="20" t="inlineStr">
        <is>
          <t>Yes</t>
        </is>
      </c>
      <c r="H389" s="16" t="n">
        <v>46119</v>
      </c>
      <c r="I389" s="20" t="inlineStr">
        <is>
          <t>No</t>
        </is>
      </c>
      <c r="J389" s="16" t="n"/>
      <c r="K389" s="19" t="n">
        <v/>
      </c>
      <c r="L389" s="17">
        <f>IF(G389="Yes", H389-B389, "")</f>
        <v/>
      </c>
      <c r="M389" s="17">
        <f>IF(I389="Yes", J389-H389, "")</f>
        <v/>
      </c>
      <c r="N389" s="17">
        <f>IF(I389="Yes", J389-B389, "")</f>
        <v/>
      </c>
    </row>
    <row r="390">
      <c r="A390" s="25" t="inlineStr">
        <is>
          <t>LD-1245</t>
        </is>
      </c>
      <c r="B390" s="21" t="n">
        <v>46153</v>
      </c>
      <c r="C390" s="31" t="inlineStr">
        <is>
          <t>Shift Solutions</t>
        </is>
      </c>
      <c r="D390" s="31" t="inlineStr">
        <is>
          <t>info@shiftsolutions.com</t>
        </is>
      </c>
      <c r="E390" s="25" t="inlineStr">
        <is>
          <t>Organic / Direct</t>
        </is>
      </c>
      <c r="F390" s="25" t="inlineStr">
        <is>
          <t>Enterprise</t>
        </is>
      </c>
      <c r="G390" s="25" t="inlineStr">
        <is>
          <t>Yes</t>
        </is>
      </c>
      <c r="H390" s="21" t="n">
        <v>46162</v>
      </c>
      <c r="I390" s="25" t="inlineStr">
        <is>
          <t>Yes</t>
        </is>
      </c>
      <c r="J390" s="21" t="n">
        <v>46167</v>
      </c>
      <c r="K390" s="24" t="n">
        <v>6954</v>
      </c>
      <c r="L390" s="22">
        <f>IF(G390="Yes", H390-B390, "")</f>
        <v/>
      </c>
      <c r="M390" s="22">
        <f>IF(I390="Yes", J390-H390, "")</f>
        <v/>
      </c>
      <c r="N390" s="22">
        <f>IF(I390="Yes", J390-B390, "")</f>
        <v/>
      </c>
    </row>
    <row r="391">
      <c r="A391" s="20" t="inlineStr">
        <is>
          <t>LD-1430</t>
        </is>
      </c>
      <c r="B391" s="16" t="n">
        <v>46107</v>
      </c>
      <c r="C391" s="32" t="inlineStr">
        <is>
          <t>Synergy Technologies</t>
        </is>
      </c>
      <c r="D391" s="32" t="inlineStr">
        <is>
          <t>info@synergytechnologies.com</t>
        </is>
      </c>
      <c r="E391" s="20" t="inlineStr">
        <is>
          <t>LinkedIn</t>
        </is>
      </c>
      <c r="F391" s="20" t="inlineStr">
        <is>
          <t>Enterprise</t>
        </is>
      </c>
      <c r="G391" s="20" t="inlineStr">
        <is>
          <t>Yes</t>
        </is>
      </c>
      <c r="H391" s="16" t="n">
        <v>46109</v>
      </c>
      <c r="I391" s="20" t="inlineStr">
        <is>
          <t>Yes</t>
        </is>
      </c>
      <c r="J391" s="16" t="n">
        <v>46116</v>
      </c>
      <c r="K391" s="19" t="n">
        <v>7035</v>
      </c>
      <c r="L391" s="17">
        <f>IF(G391="Yes", H391-B391, "")</f>
        <v/>
      </c>
      <c r="M391" s="17">
        <f>IF(I391="Yes", J391-H391, "")</f>
        <v/>
      </c>
      <c r="N391" s="17">
        <f>IF(I391="Yes", J391-B391, "")</f>
        <v/>
      </c>
    </row>
    <row r="392">
      <c r="A392" s="25" t="inlineStr">
        <is>
          <t>LD-1543</t>
        </is>
      </c>
      <c r="B392" s="21" t="n">
        <v>46142</v>
      </c>
      <c r="C392" s="31" t="inlineStr">
        <is>
          <t>Pulse LLC</t>
        </is>
      </c>
      <c r="D392" s="31" t="inlineStr">
        <is>
          <t>info@pulsellc.com</t>
        </is>
      </c>
      <c r="E392" s="25" t="inlineStr">
        <is>
          <t>Referral</t>
        </is>
      </c>
      <c r="F392" s="25" t="inlineStr">
        <is>
          <t>SMB</t>
        </is>
      </c>
      <c r="G392" s="25" t="inlineStr">
        <is>
          <t>Yes</t>
        </is>
      </c>
      <c r="H392" s="21" t="n">
        <v>46145</v>
      </c>
      <c r="I392" s="25" t="inlineStr">
        <is>
          <t>Yes</t>
        </is>
      </c>
      <c r="J392" s="21" t="n">
        <v>46152</v>
      </c>
      <c r="K392" s="24" t="n">
        <v>265</v>
      </c>
      <c r="L392" s="22">
        <f>IF(G392="Yes", H392-B392, "")</f>
        <v/>
      </c>
      <c r="M392" s="22">
        <f>IF(I392="Yes", J392-H392, "")</f>
        <v/>
      </c>
      <c r="N392" s="22">
        <f>IF(I392="Yes", J392-B392, "")</f>
        <v/>
      </c>
    </row>
    <row r="393"/>
    <row r="394">
      <c r="A394" s="25" t="inlineStr">
        <is>
          <t>LD-1002</t>
        </is>
      </c>
      <c r="B394" s="21" t="n">
        <v>46093</v>
      </c>
      <c r="C394" s="31" t="inlineStr">
        <is>
          <t>Apex Inc</t>
        </is>
      </c>
      <c r="D394" s="31" t="inlineStr">
        <is>
          <t>info@apexinc.com</t>
        </is>
      </c>
      <c r="E394" s="25" t="inlineStr">
        <is>
          <t>Cold Outreach</t>
        </is>
      </c>
      <c r="F394" s="25" t="inlineStr">
        <is>
          <t>SMB</t>
        </is>
      </c>
      <c r="G394" s="25" t="inlineStr">
        <is>
          <t>Yes</t>
        </is>
      </c>
      <c r="H394" s="21" t="n">
        <v>46102</v>
      </c>
      <c r="I394" s="25" t="inlineStr">
        <is>
          <t>No</t>
        </is>
      </c>
      <c r="J394" s="21" t="n"/>
      <c r="K394" s="24" t="n">
        <v/>
      </c>
      <c r="L394" s="22">
        <f>IF(G394="Yes", H394-B394, "")</f>
        <v/>
      </c>
      <c r="M394" s="22">
        <f>IF(I394="Yes", J394-H394, "")</f>
        <v/>
      </c>
      <c r="N394" s="22">
        <f>IF(I394="Yes", J394-B394, "")</f>
        <v/>
      </c>
    </row>
    <row r="395">
      <c r="A395" s="20" t="inlineStr">
        <is>
          <t>LD-1295</t>
        </is>
      </c>
      <c r="B395" s="16" t="n">
        <v>46104</v>
      </c>
      <c r="C395" s="32" t="inlineStr">
        <is>
          <t>Omega Partners</t>
        </is>
      </c>
      <c r="D395" s="32" t="inlineStr">
        <is>
          <t>info@omegapartners.com</t>
        </is>
      </c>
      <c r="E395" s="20" t="inlineStr">
        <is>
          <t>Google</t>
        </is>
      </c>
      <c r="F395" s="20" t="inlineStr">
        <is>
          <t>Mid-Market</t>
        </is>
      </c>
      <c r="G395" s="20" t="inlineStr">
        <is>
          <t>Yes</t>
        </is>
      </c>
      <c r="H395" s="16" t="n">
        <v>46107</v>
      </c>
      <c r="I395" s="20" t="inlineStr">
        <is>
          <t>Yes</t>
        </is>
      </c>
      <c r="J395" s="16" t="n">
        <v>46113</v>
      </c>
      <c r="K395" s="19" t="n">
        <v>1350</v>
      </c>
      <c r="L395" s="17">
        <f>IF(G395="Yes", H395-B395, "")</f>
        <v/>
      </c>
      <c r="M395" s="17">
        <f>IF(I395="Yes", J395-H395, "")</f>
        <v/>
      </c>
      <c r="N395" s="17">
        <f>IF(I395="Yes", J395-B395, "")</f>
        <v/>
      </c>
    </row>
    <row r="396">
      <c r="A396" s="25" t="inlineStr">
        <is>
          <t>LD-1201</t>
        </is>
      </c>
      <c r="B396" s="21" t="n">
        <v>46159</v>
      </c>
      <c r="C396" s="31" t="inlineStr">
        <is>
          <t>Pulse Partners</t>
        </is>
      </c>
      <c r="D396" s="31" t="inlineStr">
        <is>
          <t>info@pulsepartners.com</t>
        </is>
      </c>
      <c r="E396" s="25" t="inlineStr">
        <is>
          <t>LinkedIn</t>
        </is>
      </c>
      <c r="F396" s="25" t="inlineStr">
        <is>
          <t>SMB</t>
        </is>
      </c>
      <c r="G396" s="25" t="inlineStr">
        <is>
          <t>No</t>
        </is>
      </c>
      <c r="H396" s="21" t="n"/>
      <c r="I396" s="25" t="inlineStr">
        <is>
          <t>No</t>
        </is>
      </c>
      <c r="J396" s="21" t="n"/>
      <c r="K396" s="24" t="n">
        <v/>
      </c>
      <c r="L396" s="22">
        <f>IF(G396="Yes", H396-B396, "")</f>
        <v/>
      </c>
      <c r="M396" s="22">
        <f>IF(I396="Yes", J396-H396, "")</f>
        <v/>
      </c>
      <c r="N396" s="22">
        <f>IF(I396="Yes", J396-B396, "")</f>
        <v/>
      </c>
    </row>
    <row r="397">
      <c r="A397" s="20" t="inlineStr">
        <is>
          <t>LD-1169</t>
        </is>
      </c>
      <c r="B397" s="16" t="n">
        <v>46093</v>
      </c>
      <c r="C397" s="32" t="inlineStr">
        <is>
          <t>Summit Group</t>
        </is>
      </c>
      <c r="D397" s="32" t="inlineStr">
        <is>
          <t>info@summitgroup.com</t>
        </is>
      </c>
      <c r="E397" s="20" t="inlineStr">
        <is>
          <t>Cold Outreach</t>
        </is>
      </c>
      <c r="F397" s="20" t="inlineStr">
        <is>
          <t>Mid-Market</t>
        </is>
      </c>
      <c r="G397" s="20" t="inlineStr">
        <is>
          <t>No</t>
        </is>
      </c>
      <c r="H397" s="16" t="n"/>
      <c r="I397" s="20" t="inlineStr">
        <is>
          <t>No</t>
        </is>
      </c>
      <c r="J397" s="16" t="n"/>
      <c r="K397" s="19" t="n">
        <v/>
      </c>
      <c r="L397" s="17">
        <f>IF(G397="Yes", H397-B397, "")</f>
        <v/>
      </c>
      <c r="M397" s="17">
        <f>IF(I397="Yes", J397-H397, "")</f>
        <v/>
      </c>
      <c r="N397" s="17">
        <f>IF(I397="Yes", J397-B397, "")</f>
        <v/>
      </c>
    </row>
    <row r="398">
      <c r="A398" s="25" t="inlineStr">
        <is>
          <t>LD-1359</t>
        </is>
      </c>
      <c r="B398" s="21" t="n">
        <v>46098</v>
      </c>
      <c r="C398" s="31" t="inlineStr">
        <is>
          <t>Zenith Corp</t>
        </is>
      </c>
      <c r="D398" s="31" t="inlineStr">
        <is>
          <t>info@zenithcorp.com</t>
        </is>
      </c>
      <c r="E398" s="25" t="inlineStr">
        <is>
          <t>Google</t>
        </is>
      </c>
      <c r="F398" s="25" t="inlineStr">
        <is>
          <t>Mid-Market</t>
        </is>
      </c>
      <c r="G398" s="25" t="inlineStr">
        <is>
          <t>No</t>
        </is>
      </c>
      <c r="H398" s="21" t="n"/>
      <c r="I398" s="25" t="inlineStr">
        <is>
          <t>No</t>
        </is>
      </c>
      <c r="J398" s="21" t="n"/>
      <c r="K398" s="24" t="n">
        <v/>
      </c>
      <c r="L398" s="22">
        <f>IF(G398="Yes", H398-B398, "")</f>
        <v/>
      </c>
      <c r="M398" s="22">
        <f>IF(I398="Yes", J398-H398, "")</f>
        <v/>
      </c>
      <c r="N398" s="22">
        <f>IF(I398="Yes", J398-B398, "")</f>
        <v/>
      </c>
    </row>
    <row r="399">
      <c r="A399" s="20" t="inlineStr">
        <is>
          <t>LD-1078</t>
        </is>
      </c>
      <c r="B399" s="16" t="n">
        <v>46157</v>
      </c>
      <c r="C399" s="32" t="inlineStr">
        <is>
          <t>Apex Group</t>
        </is>
      </c>
      <c r="D399" s="32" t="inlineStr">
        <is>
          <t>info@apexgroup.com</t>
        </is>
      </c>
      <c r="E399" s="20" t="inlineStr">
        <is>
          <t>LinkedIn</t>
        </is>
      </c>
      <c r="F399" s="20" t="inlineStr">
        <is>
          <t>SMB</t>
        </is>
      </c>
      <c r="G399" s="20" t="inlineStr">
        <is>
          <t>No</t>
        </is>
      </c>
      <c r="H399" s="16" t="n"/>
      <c r="I399" s="20" t="inlineStr">
        <is>
          <t>No</t>
        </is>
      </c>
      <c r="J399" s="16" t="n"/>
      <c r="K399" s="19" t="n">
        <v/>
      </c>
      <c r="L399" s="17">
        <f>IF(G399="Yes", H399-B399, "")</f>
        <v/>
      </c>
      <c r="M399" s="17">
        <f>IF(I399="Yes", J399-H399, "")</f>
        <v/>
      </c>
      <c r="N399" s="17">
        <f>IF(I399="Yes", J399-B399, "")</f>
        <v/>
      </c>
    </row>
    <row r="400">
      <c r="A400" s="25" t="inlineStr">
        <is>
          <t>LD-1137</t>
        </is>
      </c>
      <c r="B400" s="21" t="n">
        <v>46092</v>
      </c>
      <c r="C400" s="31" t="inlineStr">
        <is>
          <t>Sovereign Co</t>
        </is>
      </c>
      <c r="D400" s="31" t="inlineStr">
        <is>
          <t>info@sovereignco.com</t>
        </is>
      </c>
      <c r="E400" s="25" t="inlineStr">
        <is>
          <t>Webinar</t>
        </is>
      </c>
      <c r="F400" s="25" t="inlineStr">
        <is>
          <t>Mid-Market</t>
        </is>
      </c>
      <c r="G400" s="25" t="inlineStr">
        <is>
          <t>Yes</t>
        </is>
      </c>
      <c r="H400" s="21" t="n">
        <v>46094</v>
      </c>
      <c r="I400" s="25" t="inlineStr">
        <is>
          <t>No</t>
        </is>
      </c>
      <c r="J400" s="21" t="n"/>
      <c r="K400" s="24" t="n">
        <v/>
      </c>
      <c r="L400" s="22">
        <f>IF(G400="Yes", H400-B400, "")</f>
        <v/>
      </c>
      <c r="M400" s="22">
        <f>IF(I400="Yes", J400-H400, "")</f>
        <v/>
      </c>
      <c r="N400" s="22">
        <f>IF(I400="Yes", J400-B400, "")</f>
        <v/>
      </c>
    </row>
    <row r="401">
      <c r="A401" s="20" t="inlineStr">
        <is>
          <t>LD-1521</t>
        </is>
      </c>
      <c r="B401" s="16" t="n">
        <v>46127</v>
      </c>
      <c r="C401" s="32" t="inlineStr">
        <is>
          <t>Sovereign Technologies</t>
        </is>
      </c>
      <c r="D401" s="32" t="inlineStr">
        <is>
          <t>info@sovereigntechnologies.com</t>
        </is>
      </c>
      <c r="E401" s="20" t="inlineStr">
        <is>
          <t>Referral</t>
        </is>
      </c>
      <c r="F401" s="20" t="inlineStr">
        <is>
          <t>Enterprise</t>
        </is>
      </c>
      <c r="G401" s="20" t="inlineStr">
        <is>
          <t>Yes</t>
        </is>
      </c>
      <c r="H401" s="16" t="n">
        <v>46130</v>
      </c>
      <c r="I401" s="20" t="inlineStr">
        <is>
          <t>No</t>
        </is>
      </c>
      <c r="J401" s="16" t="n"/>
      <c r="K401" s="19" t="n">
        <v/>
      </c>
      <c r="L401" s="17">
        <f>IF(G401="Yes", H401-B401, "")</f>
        <v/>
      </c>
      <c r="M401" s="17">
        <f>IF(I401="Yes", J401-H401, "")</f>
        <v/>
      </c>
      <c r="N401" s="17">
        <f>IF(I401="Yes", J401-B401, "")</f>
        <v/>
      </c>
    </row>
    <row r="402">
      <c r="A402" s="25" t="inlineStr">
        <is>
          <t>LD-1341</t>
        </is>
      </c>
      <c r="B402" s="21" t="n">
        <v>46097</v>
      </c>
      <c r="C402" s="31" t="inlineStr">
        <is>
          <t>Stellar LLC</t>
        </is>
      </c>
      <c r="D402" s="31" t="inlineStr">
        <is>
          <t>info@stellarllc.com</t>
        </is>
      </c>
      <c r="E402" s="25" t="inlineStr">
        <is>
          <t>Google</t>
        </is>
      </c>
      <c r="F402" s="25" t="inlineStr">
        <is>
          <t>SMB</t>
        </is>
      </c>
      <c r="G402" s="25" t="inlineStr">
        <is>
          <t>Yes</t>
        </is>
      </c>
      <c r="H402" s="21" t="n">
        <v>46107</v>
      </c>
      <c r="I402" s="25" t="inlineStr">
        <is>
          <t>No</t>
        </is>
      </c>
      <c r="J402" s="21" t="n"/>
      <c r="K402" s="24" t="n">
        <v/>
      </c>
      <c r="L402" s="22">
        <f>IF(G402="Yes", H402-B402, "")</f>
        <v/>
      </c>
      <c r="M402" s="22">
        <f>IF(I402="Yes", J402-H402, "")</f>
        <v/>
      </c>
      <c r="N402" s="22">
        <f>IF(I402="Yes", J402-B402, "")</f>
        <v/>
      </c>
    </row>
    <row r="403">
      <c r="A403" s="20" t="inlineStr">
        <is>
          <t>LD-1020</t>
        </is>
      </c>
      <c r="B403" s="16" t="n">
        <v>46106</v>
      </c>
      <c r="C403" s="32" t="inlineStr">
        <is>
          <t>Helix Co</t>
        </is>
      </c>
      <c r="D403" s="32" t="inlineStr">
        <is>
          <t>info@helixco.com</t>
        </is>
      </c>
      <c r="E403" s="20" t="inlineStr">
        <is>
          <t>Organic / Direct</t>
        </is>
      </c>
      <c r="F403" s="20" t="inlineStr">
        <is>
          <t>SMB</t>
        </is>
      </c>
      <c r="G403" s="20" t="inlineStr">
        <is>
          <t>No</t>
        </is>
      </c>
      <c r="H403" s="16" t="n"/>
      <c r="I403" s="20" t="inlineStr">
        <is>
          <t>No</t>
        </is>
      </c>
      <c r="J403" s="16" t="n"/>
      <c r="K403" s="19" t="n">
        <v/>
      </c>
      <c r="L403" s="17">
        <f>IF(G403="Yes", H403-B403, "")</f>
        <v/>
      </c>
      <c r="M403" s="17">
        <f>IF(I403="Yes", J403-H403, "")</f>
        <v/>
      </c>
      <c r="N403" s="17">
        <f>IF(I403="Yes", J403-B403, "")</f>
        <v/>
      </c>
    </row>
    <row r="404">
      <c r="A404" s="25" t="inlineStr">
        <is>
          <t>LD-1001</t>
        </is>
      </c>
      <c r="B404" s="21" t="n">
        <v>46163</v>
      </c>
      <c r="C404" s="31" t="inlineStr">
        <is>
          <t>Beacon Solutions</t>
        </is>
      </c>
      <c r="D404" s="31" t="inlineStr">
        <is>
          <t>info@beaconsolutions.com</t>
        </is>
      </c>
      <c r="E404" s="25" t="inlineStr">
        <is>
          <t>Webinar</t>
        </is>
      </c>
      <c r="F404" s="25" t="inlineStr">
        <is>
          <t>Enterprise</t>
        </is>
      </c>
      <c r="G404" s="25" t="inlineStr">
        <is>
          <t>No</t>
        </is>
      </c>
      <c r="H404" s="21" t="n"/>
      <c r="I404" s="25" t="inlineStr">
        <is>
          <t>No</t>
        </is>
      </c>
      <c r="J404" s="21" t="n"/>
      <c r="K404" s="24" t="n">
        <v/>
      </c>
      <c r="L404" s="22">
        <f>IF(G404="Yes", H404-B404, "")</f>
        <v/>
      </c>
      <c r="M404" s="22">
        <f>IF(I404="Yes", J404-H404, "")</f>
        <v/>
      </c>
      <c r="N404" s="22">
        <f>IF(I404="Yes", J404-B404, "")</f>
        <v/>
      </c>
    </row>
    <row r="405">
      <c r="A405" s="20" t="inlineStr">
        <is>
          <t>LD-1463</t>
        </is>
      </c>
      <c r="B405" s="16" t="n">
        <v>46158</v>
      </c>
      <c r="C405" s="32" t="inlineStr">
        <is>
          <t>Nova Global</t>
        </is>
      </c>
      <c r="D405" s="32" t="inlineStr">
        <is>
          <t>info@novaglobal.com</t>
        </is>
      </c>
      <c r="E405" s="20" t="inlineStr">
        <is>
          <t>LinkedIn</t>
        </is>
      </c>
      <c r="F405" s="20" t="inlineStr">
        <is>
          <t>Enterprise</t>
        </is>
      </c>
      <c r="G405" s="20" t="inlineStr">
        <is>
          <t>Yes</t>
        </is>
      </c>
      <c r="H405" s="16" t="n">
        <v>46159</v>
      </c>
      <c r="I405" s="20" t="inlineStr">
        <is>
          <t>No</t>
        </is>
      </c>
      <c r="J405" s="16" t="n"/>
      <c r="K405" s="19" t="n">
        <v/>
      </c>
      <c r="L405" s="17">
        <f>IF(G405="Yes", H405-B405, "")</f>
        <v/>
      </c>
      <c r="M405" s="17">
        <f>IF(I405="Yes", J405-H405, "")</f>
        <v/>
      </c>
      <c r="N405" s="17">
        <f>IF(I405="Yes", J405-B405, "")</f>
        <v/>
      </c>
    </row>
    <row r="406">
      <c r="A406" s="25" t="inlineStr">
        <is>
          <t>LD-1335</t>
        </is>
      </c>
      <c r="B406" s="21" t="n">
        <v>46090</v>
      </c>
      <c r="C406" s="31" t="inlineStr">
        <is>
          <t>Beacon Co</t>
        </is>
      </c>
      <c r="D406" s="31" t="inlineStr">
        <is>
          <t>info@beaconco.com</t>
        </is>
      </c>
      <c r="E406" s="25" t="inlineStr">
        <is>
          <t>Organic / Direct</t>
        </is>
      </c>
      <c r="F406" s="25" t="inlineStr">
        <is>
          <t>Enterprise</t>
        </is>
      </c>
      <c r="G406" s="25" t="inlineStr">
        <is>
          <t>Yes</t>
        </is>
      </c>
      <c r="H406" s="21" t="n">
        <v>46093</v>
      </c>
      <c r="I406" s="25" t="inlineStr">
        <is>
          <t>No</t>
        </is>
      </c>
      <c r="J406" s="21" t="n"/>
      <c r="K406" s="24" t="n">
        <v/>
      </c>
      <c r="L406" s="22">
        <f>IF(G406="Yes", H406-B406, "")</f>
        <v/>
      </c>
      <c r="M406" s="22">
        <f>IF(I406="Yes", J406-H406, "")</f>
        <v/>
      </c>
      <c r="N406" s="22">
        <f>IF(I406="Yes", J406-B406, "")</f>
        <v/>
      </c>
    </row>
    <row r="407">
      <c r="A407" s="20" t="inlineStr">
        <is>
          <t>LD-1077</t>
        </is>
      </c>
      <c r="B407" s="16" t="n">
        <v>46116</v>
      </c>
      <c r="C407" s="32" t="inlineStr">
        <is>
          <t>Zenith Partners</t>
        </is>
      </c>
      <c r="D407" s="32" t="inlineStr">
        <is>
          <t>info@zenithpartners.com</t>
        </is>
      </c>
      <c r="E407" s="20" t="inlineStr">
        <is>
          <t>Referral</t>
        </is>
      </c>
      <c r="F407" s="20" t="inlineStr">
        <is>
          <t>Enterprise</t>
        </is>
      </c>
      <c r="G407" s="20" t="inlineStr">
        <is>
          <t>Yes</t>
        </is>
      </c>
      <c r="H407" s="16" t="n">
        <v>46121</v>
      </c>
      <c r="I407" s="20" t="inlineStr">
        <is>
          <t>Yes</t>
        </is>
      </c>
      <c r="J407" s="16" t="n">
        <v>46133</v>
      </c>
      <c r="K407" s="19" t="n">
        <v>7712</v>
      </c>
      <c r="L407" s="17">
        <f>IF(G407="Yes", H407-B407, "")</f>
        <v/>
      </c>
      <c r="M407" s="17">
        <f>IF(I407="Yes", J407-H407, "")</f>
        <v/>
      </c>
      <c r="N407" s="17">
        <f>IF(I407="Yes", J407-B407, "")</f>
        <v/>
      </c>
    </row>
    <row r="408">
      <c r="A408" s="25" t="inlineStr">
        <is>
          <t>LD-1255</t>
        </is>
      </c>
      <c r="B408" s="21" t="n">
        <v>46153</v>
      </c>
      <c r="C408" s="31" t="inlineStr">
        <is>
          <t>Zenith LLC</t>
        </is>
      </c>
      <c r="D408" s="31" t="inlineStr">
        <is>
          <t>info@zenithllc.com</t>
        </is>
      </c>
      <c r="E408" s="25" t="inlineStr">
        <is>
          <t>Referral</t>
        </is>
      </c>
      <c r="F408" s="25" t="inlineStr">
        <is>
          <t>Mid-Market</t>
        </is>
      </c>
      <c r="G408" s="25" t="inlineStr">
        <is>
          <t>Yes</t>
        </is>
      </c>
      <c r="H408" s="21" t="n">
        <v>46163</v>
      </c>
      <c r="I408" s="25" t="inlineStr">
        <is>
          <t>Yes</t>
        </is>
      </c>
      <c r="J408" s="21" t="n">
        <v>46175</v>
      </c>
      <c r="K408" s="24" t="n">
        <v>799</v>
      </c>
      <c r="L408" s="22">
        <f>IF(G408="Yes", H408-B408, "")</f>
        <v/>
      </c>
      <c r="M408" s="22">
        <f>IF(I408="Yes", J408-H408, "")</f>
        <v/>
      </c>
      <c r="N408" s="22">
        <f>IF(I408="Yes", J408-B408, "")</f>
        <v/>
      </c>
    </row>
    <row r="409">
      <c r="A409" s="20" t="inlineStr">
        <is>
          <t>LD-1010</t>
        </is>
      </c>
      <c r="B409" s="16" t="n">
        <v>46156</v>
      </c>
      <c r="C409" s="32" t="inlineStr">
        <is>
          <t>Shift LLC</t>
        </is>
      </c>
      <c r="D409" s="32" t="inlineStr">
        <is>
          <t>info@shiftllc.com</t>
        </is>
      </c>
      <c r="E409" s="20" t="inlineStr">
        <is>
          <t>Google</t>
        </is>
      </c>
      <c r="F409" s="20" t="inlineStr">
        <is>
          <t>Enterprise</t>
        </is>
      </c>
      <c r="G409" s="20" t="inlineStr">
        <is>
          <t>Yes</t>
        </is>
      </c>
      <c r="H409" s="16" t="n">
        <v>46157</v>
      </c>
      <c r="I409" s="20" t="inlineStr">
        <is>
          <t>No</t>
        </is>
      </c>
      <c r="J409" s="16" t="n"/>
      <c r="K409" s="19" t="n">
        <v/>
      </c>
      <c r="L409" s="17">
        <f>IF(G409="Yes", H409-B409, "")</f>
        <v/>
      </c>
      <c r="M409" s="17">
        <f>IF(I409="Yes", J409-H409, "")</f>
        <v/>
      </c>
      <c r="N409" s="17">
        <f>IF(I409="Yes", J409-B409, "")</f>
        <v/>
      </c>
    </row>
    <row r="410"/>
    <row r="411">
      <c r="A411" s="20" t="inlineStr">
        <is>
          <t>LD-1448</t>
        </is>
      </c>
      <c r="B411" s="16" t="n">
        <v>46101</v>
      </c>
      <c r="C411" s="32" t="inlineStr">
        <is>
          <t>Acme Global</t>
        </is>
      </c>
      <c r="D411" s="32" t="inlineStr">
        <is>
          <t>info@acmeglobal.com</t>
        </is>
      </c>
      <c r="E411" s="20" t="inlineStr">
        <is>
          <t>LinkedIn</t>
        </is>
      </c>
      <c r="F411" s="20" t="inlineStr">
        <is>
          <t>Mid-Market</t>
        </is>
      </c>
      <c r="G411" s="20" t="inlineStr">
        <is>
          <t>Yes</t>
        </is>
      </c>
      <c r="H411" s="16" t="n">
        <v>46102</v>
      </c>
      <c r="I411" s="20" t="inlineStr">
        <is>
          <t>No</t>
        </is>
      </c>
      <c r="J411" s="16" t="n"/>
      <c r="K411" s="19" t="n">
        <v/>
      </c>
      <c r="L411" s="17">
        <f>IF(G411="Yes", H411-B411, "")</f>
        <v/>
      </c>
      <c r="M411" s="17">
        <f>IF(I411="Yes", J411-H411, "")</f>
        <v/>
      </c>
      <c r="N411" s="17">
        <f>IF(I411="Yes", J411-B411, "")</f>
        <v/>
      </c>
    </row>
    <row r="412">
      <c r="A412" s="25" t="inlineStr">
        <is>
          <t>LD-1503</t>
        </is>
      </c>
      <c r="B412" s="21" t="n">
        <v>46151</v>
      </c>
      <c r="C412" s="31" t="inlineStr">
        <is>
          <t>Helix Co</t>
        </is>
      </c>
      <c r="D412" s="31" t="inlineStr">
        <is>
          <t>info@helixco.com</t>
        </is>
      </c>
      <c r="E412" s="25" t="inlineStr">
        <is>
          <t>Cold Outreach</t>
        </is>
      </c>
      <c r="F412" s="25" t="inlineStr">
        <is>
          <t>Enterprise</t>
        </is>
      </c>
      <c r="G412" s="25" t="inlineStr">
        <is>
          <t>No</t>
        </is>
      </c>
      <c r="H412" s="21" t="n"/>
      <c r="I412" s="25" t="inlineStr">
        <is>
          <t>No</t>
        </is>
      </c>
      <c r="J412" s="21" t="n"/>
      <c r="K412" s="24" t="n">
        <v/>
      </c>
      <c r="L412" s="22">
        <f>IF(G412="Yes", H412-B412, "")</f>
        <v/>
      </c>
      <c r="M412" s="22">
        <f>IF(I412="Yes", J412-H412, "")</f>
        <v/>
      </c>
      <c r="N412" s="22">
        <f>IF(I412="Yes", J412-B412, "")</f>
        <v/>
      </c>
    </row>
    <row r="413">
      <c r="A413" s="20" t="inlineStr">
        <is>
          <t>LD-1373</t>
        </is>
      </c>
      <c r="B413" s="16" t="n">
        <v>46098</v>
      </c>
      <c r="C413" s="32" t="inlineStr">
        <is>
          <t>Pulse Co</t>
        </is>
      </c>
      <c r="D413" s="32" t="inlineStr">
        <is>
          <t>info@pulseco.com</t>
        </is>
      </c>
      <c r="E413" s="20" t="inlineStr">
        <is>
          <t>Cold Outreach</t>
        </is>
      </c>
      <c r="F413" s="20" t="inlineStr">
        <is>
          <t>Mid-Market</t>
        </is>
      </c>
      <c r="G413" s="20" t="inlineStr">
        <is>
          <t>Yes</t>
        </is>
      </c>
      <c r="H413" s="16" t="n">
        <v>46105</v>
      </c>
      <c r="I413" s="20" t="inlineStr">
        <is>
          <t>No</t>
        </is>
      </c>
      <c r="J413" s="16" t="n"/>
      <c r="K413" s="19" t="n">
        <v/>
      </c>
      <c r="L413" s="17">
        <f>IF(G413="Yes", H413-B413, "")</f>
        <v/>
      </c>
      <c r="M413" s="17">
        <f>IF(I413="Yes", J413-H413, "")</f>
        <v/>
      </c>
      <c r="N413" s="17">
        <f>IF(I413="Yes", J413-B413, "")</f>
        <v/>
      </c>
    </row>
    <row r="414">
      <c r="A414" s="25" t="inlineStr">
        <is>
          <t>LD-1293</t>
        </is>
      </c>
      <c r="B414" s="21" t="n">
        <v>46141</v>
      </c>
      <c r="C414" s="31" t="inlineStr">
        <is>
          <t>Vortex Corp</t>
        </is>
      </c>
      <c r="D414" s="31" t="inlineStr">
        <is>
          <t>info@vortexcorp.com</t>
        </is>
      </c>
      <c r="E414" s="25" t="inlineStr">
        <is>
          <t>Organic / Direct</t>
        </is>
      </c>
      <c r="F414" s="25" t="inlineStr">
        <is>
          <t>Enterprise</t>
        </is>
      </c>
      <c r="G414" s="25" t="inlineStr">
        <is>
          <t>Yes</t>
        </is>
      </c>
      <c r="H414" s="21" t="n">
        <v>46145</v>
      </c>
      <c r="I414" s="25" t="inlineStr">
        <is>
          <t>No</t>
        </is>
      </c>
      <c r="J414" s="21" t="n"/>
      <c r="K414" s="24" t="n">
        <v/>
      </c>
      <c r="L414" s="22">
        <f>IF(G414="Yes", H414-B414, "")</f>
        <v/>
      </c>
      <c r="M414" s="22">
        <f>IF(I414="Yes", J414-H414, "")</f>
        <v/>
      </c>
      <c r="N414" s="22">
        <f>IF(I414="Yes", J414-B414, "")</f>
        <v/>
      </c>
    </row>
    <row r="415">
      <c r="A415" s="20" t="inlineStr">
        <is>
          <t>LD-1037</t>
        </is>
      </c>
      <c r="B415" s="16" t="n">
        <v>46086</v>
      </c>
      <c r="C415" s="32" t="inlineStr">
        <is>
          <t>Alpha Co</t>
        </is>
      </c>
      <c r="D415" s="32" t="inlineStr">
        <is>
          <t>info@alphaco.com</t>
        </is>
      </c>
      <c r="E415" s="20" t="inlineStr">
        <is>
          <t>LinkedIn</t>
        </is>
      </c>
      <c r="F415" s="20" t="inlineStr">
        <is>
          <t>SMB</t>
        </is>
      </c>
      <c r="G415" s="20" t="inlineStr">
        <is>
          <t>Yes</t>
        </is>
      </c>
      <c r="H415" s="16" t="n">
        <v>46090</v>
      </c>
      <c r="I415" s="20" t="inlineStr">
        <is>
          <t>Yes</t>
        </is>
      </c>
      <c r="J415" s="16" t="n">
        <v>46097</v>
      </c>
      <c r="K415" s="19" t="n">
        <v>264</v>
      </c>
      <c r="L415" s="17">
        <f>IF(G415="Yes", H415-B415, "")</f>
        <v/>
      </c>
      <c r="M415" s="17">
        <f>IF(I415="Yes", J415-H415, "")</f>
        <v/>
      </c>
      <c r="N415" s="17">
        <f>IF(I415="Yes", J415-B415, "")</f>
        <v/>
      </c>
    </row>
    <row r="416">
      <c r="A416" s="25" t="inlineStr">
        <is>
          <t>LD-1450</t>
        </is>
      </c>
      <c r="B416" s="21" t="n">
        <v>46132</v>
      </c>
      <c r="C416" s="31" t="inlineStr">
        <is>
          <t>Omega LLC</t>
        </is>
      </c>
      <c r="D416" s="31" t="inlineStr">
        <is>
          <t>info@omegallc.com</t>
        </is>
      </c>
      <c r="E416" s="25" t="inlineStr">
        <is>
          <t>Webinar</t>
        </is>
      </c>
      <c r="F416" s="25" t="inlineStr">
        <is>
          <t>SMB</t>
        </is>
      </c>
      <c r="G416" s="25" t="inlineStr">
        <is>
          <t>Yes</t>
        </is>
      </c>
      <c r="H416" s="21" t="n">
        <v>46142</v>
      </c>
      <c r="I416" s="25" t="inlineStr">
        <is>
          <t>No</t>
        </is>
      </c>
      <c r="J416" s="21" t="n"/>
      <c r="K416" s="24" t="n">
        <v/>
      </c>
      <c r="L416" s="22">
        <f>IF(G416="Yes", H416-B416, "")</f>
        <v/>
      </c>
      <c r="M416" s="22">
        <f>IF(I416="Yes", J416-H416, "")</f>
        <v/>
      </c>
      <c r="N416" s="22">
        <f>IF(I416="Yes", J416-B416, "")</f>
        <v/>
      </c>
    </row>
    <row r="417">
      <c r="A417" s="20" t="inlineStr">
        <is>
          <t>LD-1501</t>
        </is>
      </c>
      <c r="B417" s="16" t="n">
        <v>46148</v>
      </c>
      <c r="C417" s="32" t="inlineStr">
        <is>
          <t>Apex Solutions</t>
        </is>
      </c>
      <c r="D417" s="32" t="inlineStr">
        <is>
          <t>info@apexsolutions.com</t>
        </is>
      </c>
      <c r="E417" s="20" t="inlineStr">
        <is>
          <t>LinkedIn</t>
        </is>
      </c>
      <c r="F417" s="20" t="inlineStr">
        <is>
          <t>Mid-Market</t>
        </is>
      </c>
      <c r="G417" s="20" t="inlineStr">
        <is>
          <t>Yes</t>
        </is>
      </c>
      <c r="H417" s="16" t="n">
        <v>46155</v>
      </c>
      <c r="I417" s="20" t="inlineStr">
        <is>
          <t>Yes</t>
        </is>
      </c>
      <c r="J417" s="16" t="n">
        <v>46161</v>
      </c>
      <c r="K417" s="19" t="n">
        <v>1206</v>
      </c>
      <c r="L417" s="17">
        <f>IF(G417="Yes", H417-B417, "")</f>
        <v/>
      </c>
      <c r="M417" s="17">
        <f>IF(I417="Yes", J417-H417, "")</f>
        <v/>
      </c>
      <c r="N417" s="17">
        <f>IF(I417="Yes", J417-B417, "")</f>
        <v/>
      </c>
    </row>
    <row r="418">
      <c r="A418" s="25" t="inlineStr">
        <is>
          <t>LD-1053</t>
        </is>
      </c>
      <c r="B418" s="21" t="n">
        <v>46151</v>
      </c>
      <c r="C418" s="31" t="inlineStr">
        <is>
          <t>Synergy Partners</t>
        </is>
      </c>
      <c r="D418" s="31" t="inlineStr">
        <is>
          <t>info@synergypartners.com</t>
        </is>
      </c>
      <c r="E418" s="25" t="inlineStr">
        <is>
          <t>Google</t>
        </is>
      </c>
      <c r="F418" s="25" t="inlineStr">
        <is>
          <t>Mid-Market</t>
        </is>
      </c>
      <c r="G418" s="25" t="inlineStr">
        <is>
          <t>Yes</t>
        </is>
      </c>
      <c r="H418" s="21" t="n">
        <v>46158</v>
      </c>
      <c r="I418" s="25" t="inlineStr">
        <is>
          <t>No</t>
        </is>
      </c>
      <c r="J418" s="21" t="n"/>
      <c r="K418" s="24" t="n">
        <v/>
      </c>
      <c r="L418" s="22">
        <f>IF(G418="Yes", H418-B418, "")</f>
        <v/>
      </c>
      <c r="M418" s="22">
        <f>IF(I418="Yes", J418-H418, "")</f>
        <v/>
      </c>
      <c r="N418" s="22">
        <f>IF(I418="Yes", J418-B418, "")</f>
        <v/>
      </c>
    </row>
    <row r="419">
      <c r="A419" s="20" t="inlineStr">
        <is>
          <t>LD-1442</t>
        </is>
      </c>
      <c r="B419" s="16" t="n">
        <v>46165</v>
      </c>
      <c r="C419" s="32" t="inlineStr">
        <is>
          <t>Beacon LLC</t>
        </is>
      </c>
      <c r="D419" s="32" t="inlineStr">
        <is>
          <t>info@beaconllc.com</t>
        </is>
      </c>
      <c r="E419" s="20" t="inlineStr">
        <is>
          <t>LinkedIn</t>
        </is>
      </c>
      <c r="F419" s="20" t="inlineStr">
        <is>
          <t>Enterprise</t>
        </is>
      </c>
      <c r="G419" s="20" t="inlineStr">
        <is>
          <t>Yes</t>
        </is>
      </c>
      <c r="H419" s="16" t="n">
        <v>46173</v>
      </c>
      <c r="I419" s="20" t="inlineStr">
        <is>
          <t>No</t>
        </is>
      </c>
      <c r="J419" s="16" t="n"/>
      <c r="K419" s="19" t="n">
        <v/>
      </c>
      <c r="L419" s="17">
        <f>IF(G419="Yes", H419-B419, "")</f>
        <v/>
      </c>
      <c r="M419" s="17">
        <f>IF(I419="Yes", J419-H419, "")</f>
        <v/>
      </c>
      <c r="N419" s="17">
        <f>IF(I419="Yes", J419-B419, "")</f>
        <v/>
      </c>
    </row>
    <row r="420">
      <c r="A420" s="25" t="inlineStr">
        <is>
          <t>LD-1367</t>
        </is>
      </c>
      <c r="B420" s="21" t="n">
        <v>46087</v>
      </c>
      <c r="C420" s="31" t="inlineStr">
        <is>
          <t>Helix Corp</t>
        </is>
      </c>
      <c r="D420" s="31" t="inlineStr">
        <is>
          <t>info@helixcorp.com</t>
        </is>
      </c>
      <c r="E420" s="25" t="inlineStr">
        <is>
          <t>Google</t>
        </is>
      </c>
      <c r="F420" s="25" t="inlineStr">
        <is>
          <t>Mid-Market</t>
        </is>
      </c>
      <c r="G420" s="25" t="inlineStr">
        <is>
          <t>Yes</t>
        </is>
      </c>
      <c r="H420" s="21" t="n">
        <v>46091</v>
      </c>
      <c r="I420" s="25" t="inlineStr">
        <is>
          <t>No</t>
        </is>
      </c>
      <c r="J420" s="21" t="n"/>
      <c r="K420" s="24" t="n">
        <v/>
      </c>
      <c r="L420" s="22">
        <f>IF(G420="Yes", H420-B420, "")</f>
        <v/>
      </c>
      <c r="M420" s="22">
        <f>IF(I420="Yes", J420-H420, "")</f>
        <v/>
      </c>
      <c r="N420" s="22">
        <f>IF(I420="Yes", J420-B420, "")</f>
        <v/>
      </c>
    </row>
    <row r="421">
      <c r="A421" s="20" t="inlineStr">
        <is>
          <t>LD-1227</t>
        </is>
      </c>
      <c r="B421" s="16" t="n">
        <v>46154</v>
      </c>
      <c r="C421" s="32" t="inlineStr">
        <is>
          <t>Apex Corp</t>
        </is>
      </c>
      <c r="D421" s="32" t="inlineStr">
        <is>
          <t>info@apexcorp.com</t>
        </is>
      </c>
      <c r="E421" s="20" t="inlineStr">
        <is>
          <t>Cold Outreach</t>
        </is>
      </c>
      <c r="F421" s="20" t="inlineStr">
        <is>
          <t>Enterprise</t>
        </is>
      </c>
      <c r="G421" s="20" t="inlineStr">
        <is>
          <t>No</t>
        </is>
      </c>
      <c r="H421" s="16" t="n"/>
      <c r="I421" s="20" t="inlineStr">
        <is>
          <t>No</t>
        </is>
      </c>
      <c r="J421" s="16" t="n"/>
      <c r="K421" s="19" t="n">
        <v/>
      </c>
      <c r="L421" s="17">
        <f>IF(G421="Yes", H421-B421, "")</f>
        <v/>
      </c>
      <c r="M421" s="17">
        <f>IF(I421="Yes", J421-H421, "")</f>
        <v/>
      </c>
      <c r="N421" s="17">
        <f>IF(I421="Yes", J421-B421, "")</f>
        <v/>
      </c>
    </row>
    <row r="422">
      <c r="A422" s="25" t="inlineStr">
        <is>
          <t>LD-1055</t>
        </is>
      </c>
      <c r="B422" s="21" t="n">
        <v>46125</v>
      </c>
      <c r="C422" s="31" t="inlineStr">
        <is>
          <t>Omega Technologies</t>
        </is>
      </c>
      <c r="D422" s="31" t="inlineStr">
        <is>
          <t>info@omegatechnologies.com</t>
        </is>
      </c>
      <c r="E422" s="25" t="inlineStr">
        <is>
          <t>LinkedIn</t>
        </is>
      </c>
      <c r="F422" s="25" t="inlineStr">
        <is>
          <t>SMB</t>
        </is>
      </c>
      <c r="G422" s="25" t="inlineStr">
        <is>
          <t>Yes</t>
        </is>
      </c>
      <c r="H422" s="21" t="n">
        <v>46134</v>
      </c>
      <c r="I422" s="25" t="inlineStr">
        <is>
          <t>Yes</t>
        </is>
      </c>
      <c r="J422" s="21" t="n">
        <v>46150</v>
      </c>
      <c r="K422" s="24" t="n">
        <v>157</v>
      </c>
      <c r="L422" s="22">
        <f>IF(G422="Yes", H422-B422, "")</f>
        <v/>
      </c>
      <c r="M422" s="22">
        <f>IF(I422="Yes", J422-H422, "")</f>
        <v/>
      </c>
      <c r="N422" s="22">
        <f>IF(I422="Yes", J422-B422, "")</f>
        <v/>
      </c>
    </row>
    <row r="423">
      <c r="A423" s="20" t="inlineStr">
        <is>
          <t>LD-1330</t>
        </is>
      </c>
      <c r="B423" s="16" t="n">
        <v>46146</v>
      </c>
      <c r="C423" s="32" t="inlineStr">
        <is>
          <t>Vortex Inc</t>
        </is>
      </c>
      <c r="D423" s="32" t="inlineStr">
        <is>
          <t>info@vortexinc.com</t>
        </is>
      </c>
      <c r="E423" s="20" t="inlineStr">
        <is>
          <t>Referral</t>
        </is>
      </c>
      <c r="F423" s="20" t="inlineStr">
        <is>
          <t>SMB</t>
        </is>
      </c>
      <c r="G423" s="20" t="inlineStr">
        <is>
          <t>No</t>
        </is>
      </c>
      <c r="H423" s="16" t="n"/>
      <c r="I423" s="20" t="inlineStr">
        <is>
          <t>No</t>
        </is>
      </c>
      <c r="J423" s="16" t="n"/>
      <c r="K423" s="19" t="n">
        <v/>
      </c>
      <c r="L423" s="17">
        <f>IF(G423="Yes", H423-B423, "")</f>
        <v/>
      </c>
      <c r="M423" s="17">
        <f>IF(I423="Yes", J423-H423, "")</f>
        <v/>
      </c>
      <c r="N423" s="17">
        <f>IF(I423="Yes", J423-B423, "")</f>
        <v/>
      </c>
    </row>
    <row r="424">
      <c r="A424" s="25" t="inlineStr">
        <is>
          <t>LD-1315</t>
        </is>
      </c>
      <c r="B424" s="21" t="n">
        <v>46151</v>
      </c>
      <c r="C424" s="31" t="inlineStr">
        <is>
          <t>Stellar Technologies</t>
        </is>
      </c>
      <c r="D424" s="31" t="inlineStr">
        <is>
          <t>info@stellartechnologies.com</t>
        </is>
      </c>
      <c r="E424" s="25" t="inlineStr">
        <is>
          <t>Cold Outreach</t>
        </is>
      </c>
      <c r="F424" s="25" t="inlineStr">
        <is>
          <t>Enterprise</t>
        </is>
      </c>
      <c r="G424" s="25" t="inlineStr">
        <is>
          <t>No</t>
        </is>
      </c>
      <c r="H424" s="21" t="n"/>
      <c r="I424" s="25" t="inlineStr">
        <is>
          <t>No</t>
        </is>
      </c>
      <c r="J424" s="21" t="n"/>
      <c r="K424" s="24" t="n">
        <v/>
      </c>
      <c r="L424" s="22">
        <f>IF(G424="Yes", H424-B424, "")</f>
        <v/>
      </c>
      <c r="M424" s="22">
        <f>IF(I424="Yes", J424-H424, "")</f>
        <v/>
      </c>
      <c r="N424" s="22">
        <f>IF(I424="Yes", J424-B424, "")</f>
        <v/>
      </c>
    </row>
    <row r="425">
      <c r="A425" s="20" t="inlineStr">
        <is>
          <t>LD-1491</t>
        </is>
      </c>
      <c r="B425" s="16" t="n">
        <v>46120</v>
      </c>
      <c r="C425" s="32" t="inlineStr">
        <is>
          <t>Cloud Technologies</t>
        </is>
      </c>
      <c r="D425" s="32" t="inlineStr">
        <is>
          <t>info@cloudtechnologies.com</t>
        </is>
      </c>
      <c r="E425" s="20" t="inlineStr">
        <is>
          <t>Referral</t>
        </is>
      </c>
      <c r="F425" s="20" t="inlineStr">
        <is>
          <t>SMB</t>
        </is>
      </c>
      <c r="G425" s="20" t="inlineStr">
        <is>
          <t>No</t>
        </is>
      </c>
      <c r="H425" s="16" t="n"/>
      <c r="I425" s="20" t="inlineStr">
        <is>
          <t>No</t>
        </is>
      </c>
      <c r="J425" s="16" t="n"/>
      <c r="K425" s="19" t="n">
        <v/>
      </c>
      <c r="L425" s="17">
        <f>IF(G425="Yes", H425-B425, "")</f>
        <v/>
      </c>
      <c r="M425" s="17">
        <f>IF(I425="Yes", J425-H425, "")</f>
        <v/>
      </c>
      <c r="N425" s="17">
        <f>IF(I425="Yes", J425-B425, "")</f>
        <v/>
      </c>
    </row>
    <row r="426">
      <c r="A426" s="25" t="inlineStr">
        <is>
          <t>LD-1221</t>
        </is>
      </c>
      <c r="B426" s="21" t="n">
        <v>46151</v>
      </c>
      <c r="C426" s="31" t="inlineStr">
        <is>
          <t>Apex Corp</t>
        </is>
      </c>
      <c r="D426" s="31" t="inlineStr">
        <is>
          <t>info@apexcorp.com</t>
        </is>
      </c>
      <c r="E426" s="25" t="inlineStr">
        <is>
          <t>Organic / Direct</t>
        </is>
      </c>
      <c r="F426" s="25" t="inlineStr">
        <is>
          <t>SMB</t>
        </is>
      </c>
      <c r="G426" s="25" t="inlineStr">
        <is>
          <t>Yes</t>
        </is>
      </c>
      <c r="H426" s="21" t="n">
        <v>46155</v>
      </c>
      <c r="I426" s="25" t="inlineStr">
        <is>
          <t>Yes</t>
        </is>
      </c>
      <c r="J426" s="21" t="n">
        <v>46166</v>
      </c>
      <c r="K426" s="24" t="n">
        <v>195</v>
      </c>
      <c r="L426" s="22">
        <f>IF(G426="Yes", H426-B426, "")</f>
        <v/>
      </c>
      <c r="M426" s="22">
        <f>IF(I426="Yes", J426-H426, "")</f>
        <v/>
      </c>
      <c r="N426" s="22">
        <f>IF(I426="Yes", J426-B426, "")</f>
        <v/>
      </c>
    </row>
    <row r="427">
      <c r="A427" s="20" t="inlineStr">
        <is>
          <t>LD-1537</t>
        </is>
      </c>
      <c r="B427" s="16" t="n">
        <v>46155</v>
      </c>
      <c r="C427" s="32" t="inlineStr">
        <is>
          <t>Vortex Partners</t>
        </is>
      </c>
      <c r="D427" s="32" t="inlineStr">
        <is>
          <t>info@vortexpartners.com</t>
        </is>
      </c>
      <c r="E427" s="20" t="inlineStr">
        <is>
          <t>Referral</t>
        </is>
      </c>
      <c r="F427" s="20" t="inlineStr">
        <is>
          <t>SMB</t>
        </is>
      </c>
      <c r="G427" s="20" t="inlineStr">
        <is>
          <t>Yes</t>
        </is>
      </c>
      <c r="H427" s="16" t="n">
        <v>46162</v>
      </c>
      <c r="I427" s="20" t="inlineStr">
        <is>
          <t>Yes</t>
        </is>
      </c>
      <c r="J427" s="16" t="n">
        <v>46170</v>
      </c>
      <c r="K427" s="19" t="n">
        <v>275</v>
      </c>
      <c r="L427" s="17">
        <f>IF(G427="Yes", H427-B427, "")</f>
        <v/>
      </c>
      <c r="M427" s="17">
        <f>IF(I427="Yes", J427-H427, "")</f>
        <v/>
      </c>
      <c r="N427" s="17">
        <f>IF(I427="Yes", J427-B427, "")</f>
        <v/>
      </c>
    </row>
    <row r="428">
      <c r="A428" s="25" t="inlineStr">
        <is>
          <t>LD-1528</t>
        </is>
      </c>
      <c r="B428" s="21" t="n">
        <v>46138</v>
      </c>
      <c r="C428" s="31" t="inlineStr">
        <is>
          <t>Beacon Group</t>
        </is>
      </c>
      <c r="D428" s="31" t="inlineStr">
        <is>
          <t>info@beacongroup.com</t>
        </is>
      </c>
      <c r="E428" s="25" t="inlineStr">
        <is>
          <t>Cold Outreach</t>
        </is>
      </c>
      <c r="F428" s="25" t="inlineStr">
        <is>
          <t>Enterprise</t>
        </is>
      </c>
      <c r="G428" s="25" t="inlineStr">
        <is>
          <t>Yes</t>
        </is>
      </c>
      <c r="H428" s="21" t="n">
        <v>46142</v>
      </c>
      <c r="I428" s="25" t="inlineStr">
        <is>
          <t>No</t>
        </is>
      </c>
      <c r="J428" s="21" t="n"/>
      <c r="K428" s="24" t="n">
        <v/>
      </c>
      <c r="L428" s="22">
        <f>IF(G428="Yes", H428-B428, "")</f>
        <v/>
      </c>
      <c r="M428" s="22">
        <f>IF(I428="Yes", J428-H428, "")</f>
        <v/>
      </c>
      <c r="N428" s="22">
        <f>IF(I428="Yes", J428-B428, "")</f>
        <v/>
      </c>
    </row>
    <row r="429">
      <c r="A429" s="20" t="inlineStr">
        <is>
          <t>LD-1074</t>
        </is>
      </c>
      <c r="B429" s="16" t="n">
        <v>46102</v>
      </c>
      <c r="C429" s="32" t="inlineStr">
        <is>
          <t>Pulse Corp</t>
        </is>
      </c>
      <c r="D429" s="32" t="inlineStr">
        <is>
          <t>info@pulsecorp.com</t>
        </is>
      </c>
      <c r="E429" s="20" t="inlineStr">
        <is>
          <t>Organic / Direct</t>
        </is>
      </c>
      <c r="F429" s="20" t="inlineStr">
        <is>
          <t>Enterprise</t>
        </is>
      </c>
      <c r="G429" s="20" t="inlineStr">
        <is>
          <t>Yes</t>
        </is>
      </c>
      <c r="H429" s="16" t="n">
        <v>46103</v>
      </c>
      <c r="I429" s="20" t="inlineStr">
        <is>
          <t>Yes</t>
        </is>
      </c>
      <c r="J429" s="16" t="n">
        <v>46117</v>
      </c>
      <c r="K429" s="19" t="n">
        <v>6719</v>
      </c>
      <c r="L429" s="17">
        <f>IF(G429="Yes", H429-B429, "")</f>
        <v/>
      </c>
      <c r="M429" s="17">
        <f>IF(I429="Yes", J429-H429, "")</f>
        <v/>
      </c>
      <c r="N429" s="17">
        <f>IF(I429="Yes", J429-B429, "")</f>
        <v/>
      </c>
    </row>
    <row r="430"/>
    <row r="431">
      <c r="A431" s="20" t="inlineStr">
        <is>
          <t>LD-1436</t>
        </is>
      </c>
      <c r="B431" s="16" t="n">
        <v>46112</v>
      </c>
      <c r="C431" s="32" t="inlineStr">
        <is>
          <t>Omega Solutions</t>
        </is>
      </c>
      <c r="D431" s="32" t="inlineStr">
        <is>
          <t>info@omegasolutions.com</t>
        </is>
      </c>
      <c r="E431" s="20" t="inlineStr">
        <is>
          <t>Google</t>
        </is>
      </c>
      <c r="F431" s="20" t="inlineStr">
        <is>
          <t>Mid-Market</t>
        </is>
      </c>
      <c r="G431" s="20" t="inlineStr">
        <is>
          <t>No</t>
        </is>
      </c>
      <c r="H431" s="16" t="n"/>
      <c r="I431" s="20" t="inlineStr">
        <is>
          <t>No</t>
        </is>
      </c>
      <c r="J431" s="16" t="n"/>
      <c r="K431" s="19" t="n">
        <v/>
      </c>
      <c r="L431" s="17">
        <f>IF(G431="Yes", H431-B431, "")</f>
        <v/>
      </c>
      <c r="M431" s="17">
        <f>IF(I431="Yes", J431-H431, "")</f>
        <v/>
      </c>
      <c r="N431" s="17">
        <f>IF(I431="Yes", J431-B431, "")</f>
        <v/>
      </c>
    </row>
    <row r="432">
      <c r="A432" s="25" t="inlineStr">
        <is>
          <t>LD-1331</t>
        </is>
      </c>
      <c r="B432" s="21" t="n">
        <v>46142</v>
      </c>
      <c r="C432" s="31" t="inlineStr">
        <is>
          <t>Flux Co</t>
        </is>
      </c>
      <c r="D432" s="31" t="inlineStr">
        <is>
          <t>info@fluxco.com</t>
        </is>
      </c>
      <c r="E432" s="25" t="inlineStr">
        <is>
          <t>Organic / Direct</t>
        </is>
      </c>
      <c r="F432" s="25" t="inlineStr">
        <is>
          <t>Enterprise</t>
        </is>
      </c>
      <c r="G432" s="25" t="inlineStr">
        <is>
          <t>Yes</t>
        </is>
      </c>
      <c r="H432" s="21" t="n">
        <v>46143</v>
      </c>
      <c r="I432" s="25" t="inlineStr">
        <is>
          <t>No</t>
        </is>
      </c>
      <c r="J432" s="21" t="n"/>
      <c r="K432" s="24" t="n">
        <v/>
      </c>
      <c r="L432" s="22">
        <f>IF(G432="Yes", H432-B432, "")</f>
        <v/>
      </c>
      <c r="M432" s="22">
        <f>IF(I432="Yes", J432-H432, "")</f>
        <v/>
      </c>
      <c r="N432" s="22">
        <f>IF(I432="Yes", J432-B432, "")</f>
        <v/>
      </c>
    </row>
    <row r="433">
      <c r="A433" s="20" t="inlineStr">
        <is>
          <t>LD-1483</t>
        </is>
      </c>
      <c r="B433" s="16" t="n">
        <v>46160</v>
      </c>
      <c r="C433" s="32" t="inlineStr">
        <is>
          <t>Alpha Group</t>
        </is>
      </c>
      <c r="D433" s="32" t="inlineStr">
        <is>
          <t>info@alphagroup.com</t>
        </is>
      </c>
      <c r="E433" s="20" t="inlineStr">
        <is>
          <t>LinkedIn</t>
        </is>
      </c>
      <c r="F433" s="20" t="inlineStr">
        <is>
          <t>SMB</t>
        </is>
      </c>
      <c r="G433" s="20" t="inlineStr">
        <is>
          <t>No</t>
        </is>
      </c>
      <c r="H433" s="16" t="n"/>
      <c r="I433" s="20" t="inlineStr">
        <is>
          <t>No</t>
        </is>
      </c>
      <c r="J433" s="16" t="n"/>
      <c r="K433" s="19" t="n">
        <v/>
      </c>
      <c r="L433" s="17">
        <f>IF(G433="Yes", H433-B433, "")</f>
        <v/>
      </c>
      <c r="M433" s="17">
        <f>IF(I433="Yes", J433-H433, "")</f>
        <v/>
      </c>
      <c r="N433" s="17">
        <f>IF(I433="Yes", J433-B433, "")</f>
        <v/>
      </c>
    </row>
    <row r="434">
      <c r="A434" s="25" t="inlineStr">
        <is>
          <t>LD-1202</t>
        </is>
      </c>
      <c r="B434" s="21" t="n">
        <v>46158</v>
      </c>
      <c r="C434" s="31" t="inlineStr">
        <is>
          <t>Alpha Global</t>
        </is>
      </c>
      <c r="D434" s="31" t="inlineStr">
        <is>
          <t>info@alphaglobal.com</t>
        </is>
      </c>
      <c r="E434" s="25" t="inlineStr">
        <is>
          <t>Cold Outreach</t>
        </is>
      </c>
      <c r="F434" s="25" t="inlineStr">
        <is>
          <t>SMB</t>
        </is>
      </c>
      <c r="G434" s="25" t="inlineStr">
        <is>
          <t>Yes</t>
        </is>
      </c>
      <c r="H434" s="21" t="n">
        <v>46167</v>
      </c>
      <c r="I434" s="25" t="inlineStr">
        <is>
          <t>No</t>
        </is>
      </c>
      <c r="J434" s="21" t="n"/>
      <c r="K434" s="24" t="n">
        <v/>
      </c>
      <c r="L434" s="22">
        <f>IF(G434="Yes", H434-B434, "")</f>
        <v/>
      </c>
      <c r="M434" s="22">
        <f>IF(I434="Yes", J434-H434, "")</f>
        <v/>
      </c>
      <c r="N434" s="22">
        <f>IF(I434="Yes", J434-B434, "")</f>
        <v/>
      </c>
    </row>
    <row r="435">
      <c r="A435" s="20" t="inlineStr">
        <is>
          <t>LD-1313</t>
        </is>
      </c>
      <c r="B435" s="16" t="n">
        <v>46091</v>
      </c>
      <c r="C435" s="32" t="inlineStr">
        <is>
          <t>Omega Group</t>
        </is>
      </c>
      <c r="D435" s="32" t="inlineStr">
        <is>
          <t>info@omegagroup.com</t>
        </is>
      </c>
      <c r="E435" s="20" t="inlineStr">
        <is>
          <t>Google</t>
        </is>
      </c>
      <c r="F435" s="20" t="inlineStr">
        <is>
          <t>Mid-Market</t>
        </is>
      </c>
      <c r="G435" s="20" t="inlineStr">
        <is>
          <t>Yes</t>
        </is>
      </c>
      <c r="H435" s="16" t="n">
        <v>46101</v>
      </c>
      <c r="I435" s="20" t="inlineStr">
        <is>
          <t>No</t>
        </is>
      </c>
      <c r="J435" s="16" t="n"/>
      <c r="K435" s="19" t="n">
        <v/>
      </c>
      <c r="L435" s="17">
        <f>IF(G435="Yes", H435-B435, "")</f>
        <v/>
      </c>
      <c r="M435" s="17">
        <f>IF(I435="Yes", J435-H435, "")</f>
        <v/>
      </c>
      <c r="N435" s="17">
        <f>IF(I435="Yes", J435-B435, "")</f>
        <v/>
      </c>
    </row>
    <row r="436">
      <c r="A436" s="25" t="inlineStr">
        <is>
          <t>LD-1103</t>
        </is>
      </c>
      <c r="B436" s="21" t="n">
        <v>46120</v>
      </c>
      <c r="C436" s="31" t="inlineStr">
        <is>
          <t>Vortex Group</t>
        </is>
      </c>
      <c r="D436" s="31" t="inlineStr">
        <is>
          <t>info@vortexgroup.com</t>
        </is>
      </c>
      <c r="E436" s="25" t="inlineStr">
        <is>
          <t>Referral</t>
        </is>
      </c>
      <c r="F436" s="25" t="inlineStr">
        <is>
          <t>SMB</t>
        </is>
      </c>
      <c r="G436" s="25" t="inlineStr">
        <is>
          <t>Yes</t>
        </is>
      </c>
      <c r="H436" s="21" t="n">
        <v>46129</v>
      </c>
      <c r="I436" s="25" t="inlineStr">
        <is>
          <t>Yes</t>
        </is>
      </c>
      <c r="J436" s="21" t="n">
        <v>46148</v>
      </c>
      <c r="K436" s="24" t="n">
        <v>194</v>
      </c>
      <c r="L436" s="22">
        <f>IF(G436="Yes", H436-B436, "")</f>
        <v/>
      </c>
      <c r="M436" s="22">
        <f>IF(I436="Yes", J436-H436, "")</f>
        <v/>
      </c>
      <c r="N436" s="22">
        <f>IF(I436="Yes", J436-B436, "")</f>
        <v/>
      </c>
    </row>
    <row r="437">
      <c r="A437" s="20" t="inlineStr">
        <is>
          <t>LD-1252</t>
        </is>
      </c>
      <c r="B437" s="16" t="n">
        <v>46157</v>
      </c>
      <c r="C437" s="32" t="inlineStr">
        <is>
          <t>Sovereign Co</t>
        </is>
      </c>
      <c r="D437" s="32" t="inlineStr">
        <is>
          <t>info@sovereignco.com</t>
        </is>
      </c>
      <c r="E437" s="20" t="inlineStr">
        <is>
          <t>Google</t>
        </is>
      </c>
      <c r="F437" s="20" t="inlineStr">
        <is>
          <t>Mid-Market</t>
        </is>
      </c>
      <c r="G437" s="20" t="inlineStr">
        <is>
          <t>No</t>
        </is>
      </c>
      <c r="H437" s="16" t="n"/>
      <c r="I437" s="20" t="inlineStr">
        <is>
          <t>No</t>
        </is>
      </c>
      <c r="J437" s="16" t="n"/>
      <c r="K437" s="19" t="n">
        <v/>
      </c>
      <c r="L437" s="17">
        <f>IF(G437="Yes", H437-B437, "")</f>
        <v/>
      </c>
      <c r="M437" s="17">
        <f>IF(I437="Yes", J437-H437, "")</f>
        <v/>
      </c>
      <c r="N437" s="17">
        <f>IF(I437="Yes", J437-B437, "")</f>
        <v/>
      </c>
    </row>
    <row r="438">
      <c r="A438" s="25" t="inlineStr">
        <is>
          <t>LD-1036</t>
        </is>
      </c>
      <c r="B438" s="21" t="n">
        <v>46085</v>
      </c>
      <c r="C438" s="31" t="inlineStr">
        <is>
          <t>Core LLC</t>
        </is>
      </c>
      <c r="D438" s="31" t="inlineStr">
        <is>
          <t>info@corellc.com</t>
        </is>
      </c>
      <c r="E438" s="25" t="inlineStr">
        <is>
          <t>Organic / Direct</t>
        </is>
      </c>
      <c r="F438" s="25" t="inlineStr">
        <is>
          <t>SMB</t>
        </is>
      </c>
      <c r="G438" s="25" t="inlineStr">
        <is>
          <t>Yes</t>
        </is>
      </c>
      <c r="H438" s="21" t="n">
        <v>46087</v>
      </c>
      <c r="I438" s="25" t="inlineStr">
        <is>
          <t>No</t>
        </is>
      </c>
      <c r="J438" s="21" t="n"/>
      <c r="K438" s="24" t="n">
        <v/>
      </c>
      <c r="L438" s="22">
        <f>IF(G438="Yes", H438-B438, "")</f>
        <v/>
      </c>
      <c r="M438" s="22">
        <f>IF(I438="Yes", J438-H438, "")</f>
        <v/>
      </c>
      <c r="N438" s="22">
        <f>IF(I438="Yes", J438-B438, "")</f>
        <v/>
      </c>
    </row>
    <row r="439">
      <c r="A439" s="20" t="inlineStr">
        <is>
          <t>LD-1226</t>
        </is>
      </c>
      <c r="B439" s="16" t="n">
        <v>46137</v>
      </c>
      <c r="C439" s="32" t="inlineStr">
        <is>
          <t>Core Corp</t>
        </is>
      </c>
      <c r="D439" s="32" t="inlineStr">
        <is>
          <t>info@corecorp.com</t>
        </is>
      </c>
      <c r="E439" s="20" t="inlineStr">
        <is>
          <t>LinkedIn</t>
        </is>
      </c>
      <c r="F439" s="20" t="inlineStr">
        <is>
          <t>SMB</t>
        </is>
      </c>
      <c r="G439" s="20" t="inlineStr">
        <is>
          <t>No</t>
        </is>
      </c>
      <c r="H439" s="16" t="n"/>
      <c r="I439" s="20" t="inlineStr">
        <is>
          <t>No</t>
        </is>
      </c>
      <c r="J439" s="16" t="n"/>
      <c r="K439" s="19" t="n">
        <v/>
      </c>
      <c r="L439" s="17">
        <f>IF(G439="Yes", H439-B439, "")</f>
        <v/>
      </c>
      <c r="M439" s="17">
        <f>IF(I439="Yes", J439-H439, "")</f>
        <v/>
      </c>
      <c r="N439" s="17">
        <f>IF(I439="Yes", J439-B439, "")</f>
        <v/>
      </c>
    </row>
    <row r="440">
      <c r="A440" s="25" t="inlineStr">
        <is>
          <t>LD-1092</t>
        </is>
      </c>
      <c r="B440" s="21" t="n">
        <v>46086</v>
      </c>
      <c r="C440" s="31" t="inlineStr">
        <is>
          <t>Synergy Technologies</t>
        </is>
      </c>
      <c r="D440" s="31" t="inlineStr">
        <is>
          <t>info@synergytechnologies.com</t>
        </is>
      </c>
      <c r="E440" s="25" t="inlineStr">
        <is>
          <t>Referral</t>
        </is>
      </c>
      <c r="F440" s="25" t="inlineStr">
        <is>
          <t>SMB</t>
        </is>
      </c>
      <c r="G440" s="25" t="inlineStr">
        <is>
          <t>No</t>
        </is>
      </c>
      <c r="H440" s="21" t="n"/>
      <c r="I440" s="25" t="inlineStr">
        <is>
          <t>No</t>
        </is>
      </c>
      <c r="J440" s="21" t="n"/>
      <c r="K440" s="24" t="n">
        <v/>
      </c>
      <c r="L440" s="22">
        <f>IF(G440="Yes", H440-B440, "")</f>
        <v/>
      </c>
      <c r="M440" s="22">
        <f>IF(I440="Yes", J440-H440, "")</f>
        <v/>
      </c>
      <c r="N440" s="22">
        <f>IF(I440="Yes", J440-B440, "")</f>
        <v/>
      </c>
    </row>
    <row r="441"/>
    <row r="442">
      <c r="A442" s="25" t="inlineStr">
        <is>
          <t>LD-1417</t>
        </is>
      </c>
      <c r="B442" s="21" t="n">
        <v>46128</v>
      </c>
      <c r="C442" s="31" t="inlineStr">
        <is>
          <t>Omega Solutions</t>
        </is>
      </c>
      <c r="D442" s="31" t="inlineStr">
        <is>
          <t>info@omegasolutions.com</t>
        </is>
      </c>
      <c r="E442" s="25" t="inlineStr">
        <is>
          <t>Referral</t>
        </is>
      </c>
      <c r="F442" s="25" t="inlineStr">
        <is>
          <t>SMB</t>
        </is>
      </c>
      <c r="G442" s="25" t="inlineStr">
        <is>
          <t>Yes</t>
        </is>
      </c>
      <c r="H442" s="21" t="n">
        <v>46137</v>
      </c>
      <c r="I442" s="25" t="inlineStr">
        <is>
          <t>No</t>
        </is>
      </c>
      <c r="J442" s="21" t="n"/>
      <c r="K442" s="24" t="n">
        <v/>
      </c>
      <c r="L442" s="22">
        <f>IF(G442="Yes", H442-B442, "")</f>
        <v/>
      </c>
      <c r="M442" s="22">
        <f>IF(I442="Yes", J442-H442, "")</f>
        <v/>
      </c>
      <c r="N442" s="22">
        <f>IF(I442="Yes", J442-B442, "")</f>
        <v/>
      </c>
    </row>
    <row r="443">
      <c r="A443" s="20" t="inlineStr">
        <is>
          <t>LD-1133</t>
        </is>
      </c>
      <c r="B443" s="16" t="n">
        <v>46158</v>
      </c>
      <c r="C443" s="32" t="inlineStr">
        <is>
          <t>Alpha Global</t>
        </is>
      </c>
      <c r="D443" s="32" t="inlineStr">
        <is>
          <t>info@alphaglobal.com</t>
        </is>
      </c>
      <c r="E443" s="20" t="inlineStr">
        <is>
          <t>Google</t>
        </is>
      </c>
      <c r="F443" s="20" t="inlineStr">
        <is>
          <t>Mid-Market</t>
        </is>
      </c>
      <c r="G443" s="20" t="inlineStr">
        <is>
          <t>No</t>
        </is>
      </c>
      <c r="H443" s="16" t="n"/>
      <c r="I443" s="20" t="inlineStr">
        <is>
          <t>No</t>
        </is>
      </c>
      <c r="J443" s="16" t="n"/>
      <c r="K443" s="19" t="n">
        <v/>
      </c>
      <c r="L443" s="17">
        <f>IF(G443="Yes", H443-B443, "")</f>
        <v/>
      </c>
      <c r="M443" s="17">
        <f>IF(I443="Yes", J443-H443, "")</f>
        <v/>
      </c>
      <c r="N443" s="17">
        <f>IF(I443="Yes", J443-B443, "")</f>
        <v/>
      </c>
    </row>
    <row r="444">
      <c r="A444" s="25" t="inlineStr">
        <is>
          <t>LD-1031</t>
        </is>
      </c>
      <c r="B444" s="21" t="n">
        <v>46099</v>
      </c>
      <c r="C444" s="31" t="inlineStr">
        <is>
          <t>Vortex Global</t>
        </is>
      </c>
      <c r="D444" s="31" t="inlineStr">
        <is>
          <t>info@vortexglobal.com</t>
        </is>
      </c>
      <c r="E444" s="25" t="inlineStr">
        <is>
          <t>LinkedIn</t>
        </is>
      </c>
      <c r="F444" s="25" t="inlineStr">
        <is>
          <t>Enterprise</t>
        </is>
      </c>
      <c r="G444" s="25" t="inlineStr">
        <is>
          <t>Yes</t>
        </is>
      </c>
      <c r="H444" s="21" t="n">
        <v>46104</v>
      </c>
      <c r="I444" s="25" t="inlineStr">
        <is>
          <t>No</t>
        </is>
      </c>
      <c r="J444" s="21" t="n"/>
      <c r="K444" s="24" t="n">
        <v/>
      </c>
      <c r="L444" s="22">
        <f>IF(G444="Yes", H444-B444, "")</f>
        <v/>
      </c>
      <c r="M444" s="22">
        <f>IF(I444="Yes", J444-H444, "")</f>
        <v/>
      </c>
      <c r="N444" s="22">
        <f>IF(I444="Yes", J444-B444, "")</f>
        <v/>
      </c>
    </row>
    <row r="445">
      <c r="A445" s="20" t="inlineStr">
        <is>
          <t>LD-1171</t>
        </is>
      </c>
      <c r="B445" s="16" t="n">
        <v>46155</v>
      </c>
      <c r="C445" s="32" t="inlineStr">
        <is>
          <t>Acme Partners</t>
        </is>
      </c>
      <c r="D445" s="32" t="inlineStr">
        <is>
          <t>info@acmepartners.com</t>
        </is>
      </c>
      <c r="E445" s="20" t="inlineStr">
        <is>
          <t>Webinar</t>
        </is>
      </c>
      <c r="F445" s="20" t="inlineStr">
        <is>
          <t>Mid-Market</t>
        </is>
      </c>
      <c r="G445" s="20" t="inlineStr">
        <is>
          <t>Yes</t>
        </is>
      </c>
      <c r="H445" s="16" t="n">
        <v>46162</v>
      </c>
      <c r="I445" s="20" t="inlineStr">
        <is>
          <t>Yes</t>
        </is>
      </c>
      <c r="J445" s="16" t="n">
        <v>46169</v>
      </c>
      <c r="K445" s="19" t="n">
        <v>1205</v>
      </c>
      <c r="L445" s="17">
        <f>IF(G445="Yes", H445-B445, "")</f>
        <v/>
      </c>
      <c r="M445" s="17">
        <f>IF(I445="Yes", J445-H445, "")</f>
        <v/>
      </c>
      <c r="N445" s="17">
        <f>IF(I445="Yes", J445-B445, "")</f>
        <v/>
      </c>
    </row>
    <row r="446">
      <c r="A446" s="25" t="inlineStr">
        <is>
          <t>LD-1199</t>
        </is>
      </c>
      <c r="B446" s="21" t="n">
        <v>46141</v>
      </c>
      <c r="C446" s="31" t="inlineStr">
        <is>
          <t>Omega Global</t>
        </is>
      </c>
      <c r="D446" s="31" t="inlineStr">
        <is>
          <t>info@omegaglobal.com</t>
        </is>
      </c>
      <c r="E446" s="25" t="inlineStr">
        <is>
          <t>Organic / Direct</t>
        </is>
      </c>
      <c r="F446" s="25" t="inlineStr">
        <is>
          <t>Mid-Market</t>
        </is>
      </c>
      <c r="G446" s="25" t="inlineStr">
        <is>
          <t>No</t>
        </is>
      </c>
      <c r="H446" s="21" t="n"/>
      <c r="I446" s="25" t="inlineStr">
        <is>
          <t>No</t>
        </is>
      </c>
      <c r="J446" s="21" t="n"/>
      <c r="K446" s="24" t="n">
        <v/>
      </c>
      <c r="L446" s="22">
        <f>IF(G446="Yes", H446-B446, "")</f>
        <v/>
      </c>
      <c r="M446" s="22">
        <f>IF(I446="Yes", J446-H446, "")</f>
        <v/>
      </c>
      <c r="N446" s="22">
        <f>IF(I446="Yes", J446-B446, "")</f>
        <v/>
      </c>
    </row>
    <row r="447">
      <c r="A447" s="20" t="inlineStr">
        <is>
          <t>LD-1196</t>
        </is>
      </c>
      <c r="B447" s="16" t="n">
        <v>46083</v>
      </c>
      <c r="C447" s="32" t="inlineStr">
        <is>
          <t>Stellar Solutions</t>
        </is>
      </c>
      <c r="D447" s="32" t="inlineStr">
        <is>
          <t>info@stellarsolutions.com</t>
        </is>
      </c>
      <c r="E447" s="20" t="inlineStr">
        <is>
          <t>Referral</t>
        </is>
      </c>
      <c r="F447" s="20" t="inlineStr">
        <is>
          <t>Mid-Market</t>
        </is>
      </c>
      <c r="G447" s="20" t="inlineStr">
        <is>
          <t>Yes</t>
        </is>
      </c>
      <c r="H447" s="16" t="n">
        <v>46085</v>
      </c>
      <c r="I447" s="20" t="inlineStr">
        <is>
          <t>No</t>
        </is>
      </c>
      <c r="J447" s="16" t="n"/>
      <c r="K447" s="19" t="n">
        <v/>
      </c>
      <c r="L447" s="17">
        <f>IF(G447="Yes", H447-B447, "")</f>
        <v/>
      </c>
      <c r="M447" s="17">
        <f>IF(I447="Yes", J447-H447, "")</f>
        <v/>
      </c>
      <c r="N447" s="17">
        <f>IF(I447="Yes", J447-B447, "")</f>
        <v/>
      </c>
    </row>
    <row r="448">
      <c r="A448" s="25" t="inlineStr">
        <is>
          <t>LD-1032</t>
        </is>
      </c>
      <c r="B448" s="21" t="n">
        <v>46114</v>
      </c>
      <c r="C448" s="31" t="inlineStr">
        <is>
          <t>Helix Technologies</t>
        </is>
      </c>
      <c r="D448" s="31" t="inlineStr">
        <is>
          <t>info@helixtechnologies.com</t>
        </is>
      </c>
      <c r="E448" s="25" t="inlineStr">
        <is>
          <t>Google</t>
        </is>
      </c>
      <c r="F448" s="25" t="inlineStr">
        <is>
          <t>Enterprise</t>
        </is>
      </c>
      <c r="G448" s="25" t="inlineStr">
        <is>
          <t>No</t>
        </is>
      </c>
      <c r="H448" s="21" t="n"/>
      <c r="I448" s="25" t="inlineStr">
        <is>
          <t>No</t>
        </is>
      </c>
      <c r="J448" s="21" t="n"/>
      <c r="K448" s="24" t="n">
        <v/>
      </c>
      <c r="L448" s="22">
        <f>IF(G448="Yes", H448-B448, "")</f>
        <v/>
      </c>
      <c r="M448" s="22">
        <f>IF(I448="Yes", J448-H448, "")</f>
        <v/>
      </c>
      <c r="N448" s="22">
        <f>IF(I448="Yes", J448-B448, "")</f>
        <v/>
      </c>
    </row>
    <row r="449">
      <c r="A449" s="20" t="inlineStr">
        <is>
          <t>LD-1398</t>
        </is>
      </c>
      <c r="B449" s="16" t="n">
        <v>46095</v>
      </c>
      <c r="C449" s="32" t="inlineStr">
        <is>
          <t>Bold Corp</t>
        </is>
      </c>
      <c r="D449" s="32" t="inlineStr">
        <is>
          <t>info@boldcorp.com</t>
        </is>
      </c>
      <c r="E449" s="20" t="inlineStr">
        <is>
          <t>Google</t>
        </is>
      </c>
      <c r="F449" s="20" t="inlineStr">
        <is>
          <t>Enterprise</t>
        </is>
      </c>
      <c r="G449" s="20" t="inlineStr">
        <is>
          <t>Yes</t>
        </is>
      </c>
      <c r="H449" s="16" t="n">
        <v>46097</v>
      </c>
      <c r="I449" s="20" t="inlineStr">
        <is>
          <t>No</t>
        </is>
      </c>
      <c r="J449" s="16" t="n"/>
      <c r="K449" s="19" t="n">
        <v/>
      </c>
      <c r="L449" s="17">
        <f>IF(G449="Yes", H449-B449, "")</f>
        <v/>
      </c>
      <c r="M449" s="17">
        <f>IF(I449="Yes", J449-H449, "")</f>
        <v/>
      </c>
      <c r="N449" s="17">
        <f>IF(I449="Yes", J449-B449, "")</f>
        <v/>
      </c>
    </row>
    <row r="450">
      <c r="A450" s="25" t="inlineStr">
        <is>
          <t>LD-1477</t>
        </is>
      </c>
      <c r="B450" s="21" t="n">
        <v>46089</v>
      </c>
      <c r="C450" s="31" t="inlineStr">
        <is>
          <t>Helix LLC</t>
        </is>
      </c>
      <c r="D450" s="31" t="inlineStr">
        <is>
          <t>info@helixllc.com</t>
        </is>
      </c>
      <c r="E450" s="25" t="inlineStr">
        <is>
          <t>Organic / Direct</t>
        </is>
      </c>
      <c r="F450" s="25" t="inlineStr">
        <is>
          <t>SMB</t>
        </is>
      </c>
      <c r="G450" s="25" t="inlineStr">
        <is>
          <t>No</t>
        </is>
      </c>
      <c r="H450" s="21" t="n"/>
      <c r="I450" s="25" t="inlineStr">
        <is>
          <t>No</t>
        </is>
      </c>
      <c r="J450" s="21" t="n"/>
      <c r="K450" s="24" t="n">
        <v/>
      </c>
      <c r="L450" s="22">
        <f>IF(G450="Yes", H450-B450, "")</f>
        <v/>
      </c>
      <c r="M450" s="22">
        <f>IF(I450="Yes", J450-H450, "")</f>
        <v/>
      </c>
      <c r="N450" s="22">
        <f>IF(I450="Yes", J450-B450, "")</f>
        <v/>
      </c>
    </row>
    <row r="451">
      <c r="A451" s="20" t="inlineStr">
        <is>
          <t>LD-1038</t>
        </is>
      </c>
      <c r="B451" s="16" t="n">
        <v>46147</v>
      </c>
      <c r="C451" s="32" t="inlineStr">
        <is>
          <t>Pulse Co</t>
        </is>
      </c>
      <c r="D451" s="32" t="inlineStr">
        <is>
          <t>info@pulseco.com</t>
        </is>
      </c>
      <c r="E451" s="20" t="inlineStr">
        <is>
          <t>LinkedIn</t>
        </is>
      </c>
      <c r="F451" s="20" t="inlineStr">
        <is>
          <t>SMB</t>
        </is>
      </c>
      <c r="G451" s="20" t="inlineStr">
        <is>
          <t>Yes</t>
        </is>
      </c>
      <c r="H451" s="16" t="n">
        <v>46152</v>
      </c>
      <c r="I451" s="20" t="inlineStr">
        <is>
          <t>Yes</t>
        </is>
      </c>
      <c r="J451" s="16" t="n">
        <v>46170</v>
      </c>
      <c r="K451" s="19" t="n">
        <v>188</v>
      </c>
      <c r="L451" s="17">
        <f>IF(G451="Yes", H451-B451, "")</f>
        <v/>
      </c>
      <c r="M451" s="17">
        <f>IF(I451="Yes", J451-H451, "")</f>
        <v/>
      </c>
      <c r="N451" s="17">
        <f>IF(I451="Yes", J451-B451, "")</f>
        <v/>
      </c>
    </row>
    <row r="452">
      <c r="A452" s="25" t="inlineStr">
        <is>
          <t>LD-1544</t>
        </is>
      </c>
      <c r="B452" s="21" t="n">
        <v>46084</v>
      </c>
      <c r="C452" s="31" t="inlineStr">
        <is>
          <t>Zenith LLC</t>
        </is>
      </c>
      <c r="D452" s="31" t="inlineStr">
        <is>
          <t>info@zenithllc.com</t>
        </is>
      </c>
      <c r="E452" s="25" t="inlineStr">
        <is>
          <t>Google</t>
        </is>
      </c>
      <c r="F452" s="25" t="inlineStr">
        <is>
          <t>Enterprise</t>
        </is>
      </c>
      <c r="G452" s="25" t="inlineStr">
        <is>
          <t>No</t>
        </is>
      </c>
      <c r="H452" s="21" t="n"/>
      <c r="I452" s="25" t="inlineStr">
        <is>
          <t>No</t>
        </is>
      </c>
      <c r="J452" s="21" t="n"/>
      <c r="K452" s="24" t="n">
        <v/>
      </c>
      <c r="L452" s="22">
        <f>IF(G452="Yes", H452-B452, "")</f>
        <v/>
      </c>
      <c r="M452" s="22">
        <f>IF(I452="Yes", J452-H452, "")</f>
        <v/>
      </c>
      <c r="N452" s="22">
        <f>IF(I452="Yes", J452-B452, "")</f>
        <v/>
      </c>
    </row>
    <row r="453">
      <c r="A453" s="20" t="inlineStr">
        <is>
          <t>LD-1083</t>
        </is>
      </c>
      <c r="B453" s="16" t="n">
        <v>46144</v>
      </c>
      <c r="C453" s="32" t="inlineStr">
        <is>
          <t>Bold Solutions</t>
        </is>
      </c>
      <c r="D453" s="32" t="inlineStr">
        <is>
          <t>info@boldsolutions.com</t>
        </is>
      </c>
      <c r="E453" s="20" t="inlineStr">
        <is>
          <t>Google</t>
        </is>
      </c>
      <c r="F453" s="20" t="inlineStr">
        <is>
          <t>Enterprise</t>
        </is>
      </c>
      <c r="G453" s="20" t="inlineStr">
        <is>
          <t>Yes</t>
        </is>
      </c>
      <c r="H453" s="16" t="n">
        <v>46148</v>
      </c>
      <c r="I453" s="20" t="inlineStr">
        <is>
          <t>No</t>
        </is>
      </c>
      <c r="J453" s="16" t="n"/>
      <c r="K453" s="19" t="n">
        <v/>
      </c>
      <c r="L453" s="17">
        <f>IF(G453="Yes", H453-B453, "")</f>
        <v/>
      </c>
      <c r="M453" s="17">
        <f>IF(I453="Yes", J453-H453, "")</f>
        <v/>
      </c>
      <c r="N453" s="17">
        <f>IF(I453="Yes", J453-B453, "")</f>
        <v/>
      </c>
    </row>
    <row r="454">
      <c r="A454" s="25" t="inlineStr">
        <is>
          <t>LD-1132</t>
        </is>
      </c>
      <c r="B454" s="21" t="n">
        <v>46117</v>
      </c>
      <c r="C454" s="31" t="inlineStr">
        <is>
          <t>Flux Global</t>
        </is>
      </c>
      <c r="D454" s="31" t="inlineStr">
        <is>
          <t>info@fluxglobal.com</t>
        </is>
      </c>
      <c r="E454" s="25" t="inlineStr">
        <is>
          <t>Google</t>
        </is>
      </c>
      <c r="F454" s="25" t="inlineStr">
        <is>
          <t>SMB</t>
        </is>
      </c>
      <c r="G454" s="25" t="inlineStr">
        <is>
          <t>Yes</t>
        </is>
      </c>
      <c r="H454" s="21" t="n">
        <v>46122</v>
      </c>
      <c r="I454" s="25" t="inlineStr">
        <is>
          <t>Yes</t>
        </is>
      </c>
      <c r="J454" s="21" t="n">
        <v>46129</v>
      </c>
      <c r="K454" s="24" t="n">
        <v>257</v>
      </c>
      <c r="L454" s="22">
        <f>IF(G454="Yes", H454-B454, "")</f>
        <v/>
      </c>
      <c r="M454" s="22">
        <f>IF(I454="Yes", J454-H454, "")</f>
        <v/>
      </c>
      <c r="N454" s="22">
        <f>IF(I454="Yes", J454-B454, "")</f>
        <v/>
      </c>
    </row>
    <row r="455">
      <c r="A455" s="20" t="inlineStr">
        <is>
          <t>LD-1166</t>
        </is>
      </c>
      <c r="B455" s="16" t="n">
        <v>46091</v>
      </c>
      <c r="C455" s="32" t="inlineStr">
        <is>
          <t>Core Corp</t>
        </is>
      </c>
      <c r="D455" s="32" t="inlineStr">
        <is>
          <t>info@corecorp.com</t>
        </is>
      </c>
      <c r="E455" s="20" t="inlineStr">
        <is>
          <t>LinkedIn</t>
        </is>
      </c>
      <c r="F455" s="20" t="inlineStr">
        <is>
          <t>SMB</t>
        </is>
      </c>
      <c r="G455" s="20" t="inlineStr">
        <is>
          <t>No</t>
        </is>
      </c>
      <c r="H455" s="16" t="n"/>
      <c r="I455" s="20" t="inlineStr">
        <is>
          <t>No</t>
        </is>
      </c>
      <c r="J455" s="16" t="n"/>
      <c r="K455" s="19" t="n">
        <v/>
      </c>
      <c r="L455" s="17">
        <f>IF(G455="Yes", H455-B455, "")</f>
        <v/>
      </c>
      <c r="M455" s="17">
        <f>IF(I455="Yes", J455-H455, "")</f>
        <v/>
      </c>
      <c r="N455" s="17">
        <f>IF(I455="Yes", J455-B455, "")</f>
        <v/>
      </c>
    </row>
    <row r="456">
      <c r="A456" s="25" t="inlineStr">
        <is>
          <t>LD-1456</t>
        </is>
      </c>
      <c r="B456" s="21" t="n">
        <v>46138</v>
      </c>
      <c r="C456" s="31" t="inlineStr">
        <is>
          <t>Apex Solutions</t>
        </is>
      </c>
      <c r="D456" s="31" t="inlineStr">
        <is>
          <t>info@apexsolutions.com</t>
        </is>
      </c>
      <c r="E456" s="25" t="inlineStr">
        <is>
          <t>Cold Outreach</t>
        </is>
      </c>
      <c r="F456" s="25" t="inlineStr">
        <is>
          <t>Enterprise</t>
        </is>
      </c>
      <c r="G456" s="25" t="inlineStr">
        <is>
          <t>No</t>
        </is>
      </c>
      <c r="H456" s="21" t="n"/>
      <c r="I456" s="25" t="inlineStr">
        <is>
          <t>No</t>
        </is>
      </c>
      <c r="J456" s="21" t="n"/>
      <c r="K456" s="24" t="n">
        <v/>
      </c>
      <c r="L456" s="22">
        <f>IF(G456="Yes", H456-B456, "")</f>
        <v/>
      </c>
      <c r="M456" s="22">
        <f>IF(I456="Yes", J456-H456, "")</f>
        <v/>
      </c>
      <c r="N456" s="22">
        <f>IF(I456="Yes", J456-B456, "")</f>
        <v/>
      </c>
    </row>
    <row r="457">
      <c r="A457" s="20" t="inlineStr">
        <is>
          <t>LD-1395</t>
        </is>
      </c>
      <c r="B457" s="16" t="n">
        <v>46144</v>
      </c>
      <c r="C457" s="32" t="inlineStr">
        <is>
          <t>Synergy Corp</t>
        </is>
      </c>
      <c r="D457" s="32" t="inlineStr">
        <is>
          <t>info@synergycorp.com</t>
        </is>
      </c>
      <c r="E457" s="20" t="inlineStr">
        <is>
          <t>LinkedIn</t>
        </is>
      </c>
      <c r="F457" s="20" t="inlineStr">
        <is>
          <t>Mid-Market</t>
        </is>
      </c>
      <c r="G457" s="20" t="inlineStr">
        <is>
          <t>Yes</t>
        </is>
      </c>
      <c r="H457" s="16" t="n">
        <v>46150</v>
      </c>
      <c r="I457" s="20" t="inlineStr">
        <is>
          <t>No</t>
        </is>
      </c>
      <c r="J457" s="16" t="n"/>
      <c r="K457" s="19" t="n">
        <v/>
      </c>
      <c r="L457" s="17">
        <f>IF(G457="Yes", H457-B457, "")</f>
        <v/>
      </c>
      <c r="M457" s="17">
        <f>IF(I457="Yes", J457-H457, "")</f>
        <v/>
      </c>
      <c r="N457" s="17">
        <f>IF(I457="Yes", J457-B457, "")</f>
        <v/>
      </c>
    </row>
    <row r="458">
      <c r="A458" s="25" t="inlineStr">
        <is>
          <t>LD-1342</t>
        </is>
      </c>
      <c r="B458" s="21" t="n">
        <v>46105</v>
      </c>
      <c r="C458" s="31" t="inlineStr">
        <is>
          <t>Zenith Co</t>
        </is>
      </c>
      <c r="D458" s="31" t="inlineStr">
        <is>
          <t>info@zenithco.com</t>
        </is>
      </c>
      <c r="E458" s="25" t="inlineStr">
        <is>
          <t>Webinar</t>
        </is>
      </c>
      <c r="F458" s="25" t="inlineStr">
        <is>
          <t>SMB</t>
        </is>
      </c>
      <c r="G458" s="25" t="inlineStr">
        <is>
          <t>Yes</t>
        </is>
      </c>
      <c r="H458" s="21" t="n">
        <v>46110</v>
      </c>
      <c r="I458" s="25" t="inlineStr">
        <is>
          <t>Yes</t>
        </is>
      </c>
      <c r="J458" s="21" t="n">
        <v>46120</v>
      </c>
      <c r="K458" s="24" t="n">
        <v>247</v>
      </c>
      <c r="L458" s="22">
        <f>IF(G458="Yes", H458-B458, "")</f>
        <v/>
      </c>
      <c r="M458" s="22">
        <f>IF(I458="Yes", J458-H458, "")</f>
        <v/>
      </c>
      <c r="N458" s="22">
        <f>IF(I458="Yes", J458-B458, "")</f>
        <v/>
      </c>
    </row>
    <row r="459">
      <c r="A459" s="20" t="inlineStr">
        <is>
          <t>LD-1355</t>
        </is>
      </c>
      <c r="B459" s="16" t="n">
        <v>46128</v>
      </c>
      <c r="C459" s="32" t="inlineStr">
        <is>
          <t>Core LLC</t>
        </is>
      </c>
      <c r="D459" s="32" t="inlineStr">
        <is>
          <t>info@corellc.com</t>
        </is>
      </c>
      <c r="E459" s="20" t="inlineStr">
        <is>
          <t>Organic / Direct</t>
        </is>
      </c>
      <c r="F459" s="20" t="inlineStr">
        <is>
          <t>SMB</t>
        </is>
      </c>
      <c r="G459" s="20" t="inlineStr">
        <is>
          <t>Yes</t>
        </is>
      </c>
      <c r="H459" s="16" t="n">
        <v>46131</v>
      </c>
      <c r="I459" s="20" t="inlineStr">
        <is>
          <t>No</t>
        </is>
      </c>
      <c r="J459" s="16" t="n"/>
      <c r="K459" s="19" t="n">
        <v/>
      </c>
      <c r="L459" s="17">
        <f>IF(G459="Yes", H459-B459, "")</f>
        <v/>
      </c>
      <c r="M459" s="17">
        <f>IF(I459="Yes", J459-H459, "")</f>
        <v/>
      </c>
      <c r="N459" s="17">
        <f>IF(I459="Yes", J459-B459, "")</f>
        <v/>
      </c>
    </row>
    <row r="460">
      <c r="A460" s="25" t="inlineStr">
        <is>
          <t>LD-1219</t>
        </is>
      </c>
      <c r="B460" s="21" t="n">
        <v>46084</v>
      </c>
      <c r="C460" s="31" t="inlineStr">
        <is>
          <t>Shift LLC</t>
        </is>
      </c>
      <c r="D460" s="31" t="inlineStr">
        <is>
          <t>info@shiftllc.com</t>
        </is>
      </c>
      <c r="E460" s="25" t="inlineStr">
        <is>
          <t>LinkedIn</t>
        </is>
      </c>
      <c r="F460" s="25" t="inlineStr">
        <is>
          <t>Mid-Market</t>
        </is>
      </c>
      <c r="G460" s="25" t="inlineStr">
        <is>
          <t>Yes</t>
        </is>
      </c>
      <c r="H460" s="21" t="n">
        <v>46088</v>
      </c>
      <c r="I460" s="25" t="inlineStr">
        <is>
          <t>No</t>
        </is>
      </c>
      <c r="J460" s="21" t="n"/>
      <c r="K460" s="24" t="n">
        <v/>
      </c>
      <c r="L460" s="22">
        <f>IF(G460="Yes", H460-B460, "")</f>
        <v/>
      </c>
      <c r="M460" s="22">
        <f>IF(I460="Yes", J460-H460, "")</f>
        <v/>
      </c>
      <c r="N460" s="22">
        <f>IF(I460="Yes", J460-B460, "")</f>
        <v/>
      </c>
    </row>
    <row r="461">
      <c r="A461" s="20" t="inlineStr">
        <is>
          <t>LD-1394</t>
        </is>
      </c>
      <c r="B461" s="16" t="n">
        <v>46152</v>
      </c>
      <c r="C461" s="32" t="inlineStr">
        <is>
          <t>Pulse Corp</t>
        </is>
      </c>
      <c r="D461" s="32" t="inlineStr">
        <is>
          <t>info@pulsecorp.com</t>
        </is>
      </c>
      <c r="E461" s="20" t="inlineStr">
        <is>
          <t>Google</t>
        </is>
      </c>
      <c r="F461" s="20" t="inlineStr">
        <is>
          <t>SMB</t>
        </is>
      </c>
      <c r="G461" s="20" t="inlineStr">
        <is>
          <t>No</t>
        </is>
      </c>
      <c r="H461" s="16" t="n"/>
      <c r="I461" s="20" t="inlineStr">
        <is>
          <t>No</t>
        </is>
      </c>
      <c r="J461" s="16" t="n"/>
      <c r="K461" s="19" t="n">
        <v/>
      </c>
      <c r="L461" s="17">
        <f>IF(G461="Yes", H461-B461, "")</f>
        <v/>
      </c>
      <c r="M461" s="17">
        <f>IF(I461="Yes", J461-H461, "")</f>
        <v/>
      </c>
      <c r="N461" s="17">
        <f>IF(I461="Yes", J461-B461, "")</f>
        <v/>
      </c>
    </row>
    <row r="462">
      <c r="A462" s="25" t="inlineStr">
        <is>
          <t>LD-1142</t>
        </is>
      </c>
      <c r="B462" s="21" t="n">
        <v>46103</v>
      </c>
      <c r="C462" s="31" t="inlineStr">
        <is>
          <t>Apex LLC</t>
        </is>
      </c>
      <c r="D462" s="31" t="inlineStr">
        <is>
          <t>info@apexllc.com</t>
        </is>
      </c>
      <c r="E462" s="25" t="inlineStr">
        <is>
          <t>Referral</t>
        </is>
      </c>
      <c r="F462" s="25" t="inlineStr">
        <is>
          <t>Enterprise</t>
        </is>
      </c>
      <c r="G462" s="25" t="inlineStr">
        <is>
          <t>Yes</t>
        </is>
      </c>
      <c r="H462" s="21" t="n">
        <v>46111</v>
      </c>
      <c r="I462" s="25" t="inlineStr">
        <is>
          <t>Yes</t>
        </is>
      </c>
      <c r="J462" s="21" t="n">
        <v>46123</v>
      </c>
      <c r="K462" s="24" t="n">
        <v>5535</v>
      </c>
      <c r="L462" s="22">
        <f>IF(G462="Yes", H462-B462, "")</f>
        <v/>
      </c>
      <c r="M462" s="22">
        <f>IF(I462="Yes", J462-H462, "")</f>
        <v/>
      </c>
      <c r="N462" s="22">
        <f>IF(I462="Yes", J462-B462, "")</f>
        <v/>
      </c>
    </row>
    <row r="463">
      <c r="A463" s="20" t="inlineStr">
        <is>
          <t>LD-1233</t>
        </is>
      </c>
      <c r="B463" s="16" t="n">
        <v>46095</v>
      </c>
      <c r="C463" s="32" t="inlineStr">
        <is>
          <t>Stellar Partners</t>
        </is>
      </c>
      <c r="D463" s="32" t="inlineStr">
        <is>
          <t>info@stellarpartners.com</t>
        </is>
      </c>
      <c r="E463" s="20" t="inlineStr">
        <is>
          <t>Google</t>
        </is>
      </c>
      <c r="F463" s="20" t="inlineStr">
        <is>
          <t>SMB</t>
        </is>
      </c>
      <c r="G463" s="20" t="inlineStr">
        <is>
          <t>Yes</t>
        </is>
      </c>
      <c r="H463" s="16" t="n">
        <v>46103</v>
      </c>
      <c r="I463" s="20" t="inlineStr">
        <is>
          <t>No</t>
        </is>
      </c>
      <c r="J463" s="16" t="n"/>
      <c r="K463" s="19" t="n">
        <v/>
      </c>
      <c r="L463" s="17">
        <f>IF(G463="Yes", H463-B463, "")</f>
        <v/>
      </c>
      <c r="M463" s="17">
        <f>IF(I463="Yes", J463-H463, "")</f>
        <v/>
      </c>
      <c r="N463" s="17">
        <f>IF(I463="Yes", J463-B463, "")</f>
        <v/>
      </c>
    </row>
    <row r="464">
      <c r="A464" s="25" t="inlineStr">
        <is>
          <t>LD-1328</t>
        </is>
      </c>
      <c r="B464" s="21" t="n">
        <v>46089</v>
      </c>
      <c r="C464" s="31" t="inlineStr">
        <is>
          <t>Summit Corp</t>
        </is>
      </c>
      <c r="D464" s="31" t="inlineStr">
        <is>
          <t>info@summitcorp.com</t>
        </is>
      </c>
      <c r="E464" s="25" t="inlineStr">
        <is>
          <t>Google</t>
        </is>
      </c>
      <c r="F464" s="25" t="inlineStr">
        <is>
          <t>Enterprise</t>
        </is>
      </c>
      <c r="G464" s="25" t="inlineStr">
        <is>
          <t>No</t>
        </is>
      </c>
      <c r="H464" s="21" t="n"/>
      <c r="I464" s="25" t="inlineStr">
        <is>
          <t>No</t>
        </is>
      </c>
      <c r="J464" s="21" t="n"/>
      <c r="K464" s="24" t="n">
        <v/>
      </c>
      <c r="L464" s="22">
        <f>IF(G464="Yes", H464-B464, "")</f>
        <v/>
      </c>
      <c r="M464" s="22">
        <f>IF(I464="Yes", J464-H464, "")</f>
        <v/>
      </c>
      <c r="N464" s="22">
        <f>IF(I464="Yes", J464-B464, "")</f>
        <v/>
      </c>
    </row>
    <row r="465">
      <c r="A465" s="20" t="inlineStr">
        <is>
          <t>LD-1039</t>
        </is>
      </c>
      <c r="B465" s="16" t="n">
        <v>46122</v>
      </c>
      <c r="C465" s="32" t="inlineStr">
        <is>
          <t>Cloud Corp</t>
        </is>
      </c>
      <c r="D465" s="32" t="inlineStr">
        <is>
          <t>info@cloudcorp.com</t>
        </is>
      </c>
      <c r="E465" s="20" t="inlineStr">
        <is>
          <t>LinkedIn</t>
        </is>
      </c>
      <c r="F465" s="20" t="inlineStr">
        <is>
          <t>SMB</t>
        </is>
      </c>
      <c r="G465" s="20" t="inlineStr">
        <is>
          <t>No</t>
        </is>
      </c>
      <c r="H465" s="16" t="n"/>
      <c r="I465" s="20" t="inlineStr">
        <is>
          <t>No</t>
        </is>
      </c>
      <c r="J465" s="16" t="n"/>
      <c r="K465" s="19" t="n">
        <v/>
      </c>
      <c r="L465" s="17">
        <f>IF(G465="Yes", H465-B465, "")</f>
        <v/>
      </c>
      <c r="M465" s="17">
        <f>IF(I465="Yes", J465-H465, "")</f>
        <v/>
      </c>
      <c r="N465" s="17">
        <f>IF(I465="Yes", J465-B465, "")</f>
        <v/>
      </c>
    </row>
    <row r="466">
      <c r="A466" s="25" t="inlineStr">
        <is>
          <t>LD-1339</t>
        </is>
      </c>
      <c r="B466" s="21" t="n">
        <v>46105</v>
      </c>
      <c r="C466" s="31" t="inlineStr">
        <is>
          <t>Nova Solutions</t>
        </is>
      </c>
      <c r="D466" s="31" t="inlineStr">
        <is>
          <t>info@novasolutions.com</t>
        </is>
      </c>
      <c r="E466" s="25" t="inlineStr">
        <is>
          <t>LinkedIn</t>
        </is>
      </c>
      <c r="F466" s="25" t="inlineStr">
        <is>
          <t>Mid-Market</t>
        </is>
      </c>
      <c r="G466" s="25" t="inlineStr">
        <is>
          <t>No</t>
        </is>
      </c>
      <c r="H466" s="21" t="n"/>
      <c r="I466" s="25" t="inlineStr">
        <is>
          <t>No</t>
        </is>
      </c>
      <c r="J466" s="21" t="n"/>
      <c r="K466" s="24" t="n">
        <v/>
      </c>
      <c r="L466" s="22">
        <f>IF(G466="Yes", H466-B466, "")</f>
        <v/>
      </c>
      <c r="M466" s="22">
        <f>IF(I466="Yes", J466-H466, "")</f>
        <v/>
      </c>
      <c r="N466" s="22">
        <f>IF(I466="Yes", J466-B466, "")</f>
        <v/>
      </c>
    </row>
    <row r="467">
      <c r="A467" s="20" t="inlineStr">
        <is>
          <t>LD-1547</t>
        </is>
      </c>
      <c r="B467" s="16" t="n">
        <v>46092</v>
      </c>
      <c r="C467" s="32" t="inlineStr">
        <is>
          <t>Cloud Technologies</t>
        </is>
      </c>
      <c r="D467" s="32" t="inlineStr">
        <is>
          <t>info@cloudtechnologies.com</t>
        </is>
      </c>
      <c r="E467" s="20" t="inlineStr">
        <is>
          <t>Cold Outreach</t>
        </is>
      </c>
      <c r="F467" s="20" t="inlineStr">
        <is>
          <t>SMB</t>
        </is>
      </c>
      <c r="G467" s="20" t="inlineStr">
        <is>
          <t>Yes</t>
        </is>
      </c>
      <c r="H467" s="16" t="n">
        <v>46094</v>
      </c>
      <c r="I467" s="20" t="inlineStr">
        <is>
          <t>No</t>
        </is>
      </c>
      <c r="J467" s="16" t="n"/>
      <c r="K467" s="19" t="n">
        <v/>
      </c>
      <c r="L467" s="17">
        <f>IF(G467="Yes", H467-B467, "")</f>
        <v/>
      </c>
      <c r="M467" s="17">
        <f>IF(I467="Yes", J467-H467, "")</f>
        <v/>
      </c>
      <c r="N467" s="17">
        <f>IF(I467="Yes", J467-B467, "")</f>
        <v/>
      </c>
    </row>
    <row r="468">
      <c r="A468" s="25" t="inlineStr">
        <is>
          <t>LD-1151</t>
        </is>
      </c>
      <c r="B468" s="21" t="n">
        <v>46087</v>
      </c>
      <c r="C468" s="31" t="inlineStr">
        <is>
          <t>Flux Technologies</t>
        </is>
      </c>
      <c r="D468" s="31" t="inlineStr">
        <is>
          <t>info@fluxtechnologies.com</t>
        </is>
      </c>
      <c r="E468" s="25" t="inlineStr">
        <is>
          <t>Google</t>
        </is>
      </c>
      <c r="F468" s="25" t="inlineStr">
        <is>
          <t>Mid-Market</t>
        </is>
      </c>
      <c r="G468" s="25" t="inlineStr">
        <is>
          <t>Yes</t>
        </is>
      </c>
      <c r="H468" s="21" t="n">
        <v>46089</v>
      </c>
      <c r="I468" s="25" t="inlineStr">
        <is>
          <t>No</t>
        </is>
      </c>
      <c r="J468" s="21" t="n"/>
      <c r="K468" s="24" t="n">
        <v/>
      </c>
      <c r="L468" s="22">
        <f>IF(G468="Yes", H468-B468, "")</f>
        <v/>
      </c>
      <c r="M468" s="22">
        <f>IF(I468="Yes", J468-H468, "")</f>
        <v/>
      </c>
      <c r="N468" s="22">
        <f>IF(I468="Yes", J468-B468, "")</f>
        <v/>
      </c>
    </row>
    <row r="469">
      <c r="A469" s="20" t="inlineStr">
        <is>
          <t>LD-1130</t>
        </is>
      </c>
      <c r="B469" s="16" t="n">
        <v>46126</v>
      </c>
      <c r="C469" s="32" t="inlineStr">
        <is>
          <t>Sovereign Solutions</t>
        </is>
      </c>
      <c r="D469" s="32" t="inlineStr">
        <is>
          <t>info@sovereignsolutions.com</t>
        </is>
      </c>
      <c r="E469" s="20" t="inlineStr">
        <is>
          <t>Google</t>
        </is>
      </c>
      <c r="F469" s="20" t="inlineStr">
        <is>
          <t>Enterprise</t>
        </is>
      </c>
      <c r="G469" s="20" t="inlineStr">
        <is>
          <t>Yes</t>
        </is>
      </c>
      <c r="H469" s="16" t="n">
        <v>46128</v>
      </c>
      <c r="I469" s="20" t="inlineStr">
        <is>
          <t>Yes</t>
        </is>
      </c>
      <c r="J469" s="16" t="n">
        <v>46148</v>
      </c>
      <c r="K469" s="19" t="n">
        <v>6800</v>
      </c>
      <c r="L469" s="17">
        <f>IF(G469="Yes", H469-B469, "")</f>
        <v/>
      </c>
      <c r="M469" s="17">
        <f>IF(I469="Yes", J469-H469, "")</f>
        <v/>
      </c>
      <c r="N469" s="17">
        <f>IF(I469="Yes", J469-B469, "")</f>
        <v/>
      </c>
    </row>
    <row r="470">
      <c r="A470" s="25" t="inlineStr">
        <is>
          <t>LD-1523</t>
        </is>
      </c>
      <c r="B470" s="21" t="n">
        <v>46129</v>
      </c>
      <c r="C470" s="31" t="inlineStr">
        <is>
          <t>Stellar Solutions</t>
        </is>
      </c>
      <c r="D470" s="31" t="inlineStr">
        <is>
          <t>info@stellarsolutions.com</t>
        </is>
      </c>
      <c r="E470" s="25" t="inlineStr">
        <is>
          <t>LinkedIn</t>
        </is>
      </c>
      <c r="F470" s="25" t="inlineStr">
        <is>
          <t>SMB</t>
        </is>
      </c>
      <c r="G470" s="25" t="inlineStr">
        <is>
          <t>No</t>
        </is>
      </c>
      <c r="H470" s="21" t="n"/>
      <c r="I470" s="25" t="inlineStr">
        <is>
          <t>No</t>
        </is>
      </c>
      <c r="J470" s="21" t="n"/>
      <c r="K470" s="24" t="n">
        <v/>
      </c>
      <c r="L470" s="22">
        <f>IF(G470="Yes", H470-B470, "")</f>
        <v/>
      </c>
      <c r="M470" s="22">
        <f>IF(I470="Yes", J470-H470, "")</f>
        <v/>
      </c>
      <c r="N470" s="22">
        <f>IF(I470="Yes", J470-B470, "")</f>
        <v/>
      </c>
    </row>
    <row r="471">
      <c r="A471" s="20" t="inlineStr">
        <is>
          <t>LD-1357</t>
        </is>
      </c>
      <c r="B471" s="16" t="n">
        <v>46116</v>
      </c>
      <c r="C471" s="32" t="inlineStr">
        <is>
          <t>Zenith LLC</t>
        </is>
      </c>
      <c r="D471" s="32" t="inlineStr">
        <is>
          <t>info@zenithllc.com</t>
        </is>
      </c>
      <c r="E471" s="20" t="inlineStr">
        <is>
          <t>Google</t>
        </is>
      </c>
      <c r="F471" s="20" t="inlineStr">
        <is>
          <t>SMB</t>
        </is>
      </c>
      <c r="G471" s="20" t="inlineStr">
        <is>
          <t>No</t>
        </is>
      </c>
      <c r="H471" s="16" t="n"/>
      <c r="I471" s="20" t="inlineStr">
        <is>
          <t>No</t>
        </is>
      </c>
      <c r="J471" s="16" t="n"/>
      <c r="K471" s="19" t="n">
        <v/>
      </c>
      <c r="L471" s="17">
        <f>IF(G471="Yes", H471-B471, "")</f>
        <v/>
      </c>
      <c r="M471" s="17">
        <f>IF(I471="Yes", J471-H471, "")</f>
        <v/>
      </c>
      <c r="N471" s="17">
        <f>IF(I471="Yes", J471-B471, "")</f>
        <v/>
      </c>
    </row>
    <row r="472">
      <c r="A472" s="25" t="inlineStr">
        <is>
          <t>LD-1057</t>
        </is>
      </c>
      <c r="B472" s="21" t="n">
        <v>46096</v>
      </c>
      <c r="C472" s="31" t="inlineStr">
        <is>
          <t>Quantum Partners</t>
        </is>
      </c>
      <c r="D472" s="31" t="inlineStr">
        <is>
          <t>info@quantumpartners.com</t>
        </is>
      </c>
      <c r="E472" s="25" t="inlineStr">
        <is>
          <t>Google</t>
        </is>
      </c>
      <c r="F472" s="25" t="inlineStr">
        <is>
          <t>Enterprise</t>
        </is>
      </c>
      <c r="G472" s="25" t="inlineStr">
        <is>
          <t>Yes</t>
        </is>
      </c>
      <c r="H472" s="21" t="n">
        <v>46098</v>
      </c>
      <c r="I472" s="25" t="inlineStr">
        <is>
          <t>No</t>
        </is>
      </c>
      <c r="J472" s="21" t="n"/>
      <c r="K472" s="24" t="n">
        <v/>
      </c>
      <c r="L472" s="22">
        <f>IF(G472="Yes", H472-B472, "")</f>
        <v/>
      </c>
      <c r="M472" s="22">
        <f>IF(I472="Yes", J472-H472, "")</f>
        <v/>
      </c>
      <c r="N472" s="22">
        <f>IF(I472="Yes", J472-B472, "")</f>
        <v/>
      </c>
    </row>
    <row r="473">
      <c r="A473" s="20" t="inlineStr">
        <is>
          <t>LD-1459</t>
        </is>
      </c>
      <c r="B473" s="16" t="n">
        <v>46132</v>
      </c>
      <c r="C473" s="32" t="inlineStr">
        <is>
          <t>Acme Inc</t>
        </is>
      </c>
      <c r="D473" s="32" t="inlineStr">
        <is>
          <t>info@acmeinc.com</t>
        </is>
      </c>
      <c r="E473" s="20" t="inlineStr">
        <is>
          <t>Organic / Direct</t>
        </is>
      </c>
      <c r="F473" s="20" t="inlineStr">
        <is>
          <t>Enterprise</t>
        </is>
      </c>
      <c r="G473" s="20" t="inlineStr">
        <is>
          <t>Yes</t>
        </is>
      </c>
      <c r="H473" s="16" t="n">
        <v>46134</v>
      </c>
      <c r="I473" s="20" t="inlineStr">
        <is>
          <t>Yes</t>
        </is>
      </c>
      <c r="J473" s="16" t="n">
        <v>46154</v>
      </c>
      <c r="K473" s="19" t="n">
        <v>3748</v>
      </c>
      <c r="L473" s="17">
        <f>IF(G473="Yes", H473-B473, "")</f>
        <v/>
      </c>
      <c r="M473" s="17">
        <f>IF(I473="Yes", J473-H473, "")</f>
        <v/>
      </c>
      <c r="N473" s="17">
        <f>IF(I473="Yes", J473-B473, "")</f>
        <v/>
      </c>
    </row>
    <row r="474">
      <c r="A474" s="25" t="inlineStr">
        <is>
          <t>LD-1095</t>
        </is>
      </c>
      <c r="B474" s="21" t="n">
        <v>46083</v>
      </c>
      <c r="C474" s="31" t="inlineStr">
        <is>
          <t>Stellar Global</t>
        </is>
      </c>
      <c r="D474" s="31" t="inlineStr">
        <is>
          <t>info@stellarglobal.com</t>
        </is>
      </c>
      <c r="E474" s="25" t="inlineStr">
        <is>
          <t>LinkedIn</t>
        </is>
      </c>
      <c r="F474" s="25" t="inlineStr">
        <is>
          <t>Enterprise</t>
        </is>
      </c>
      <c r="G474" s="25" t="inlineStr">
        <is>
          <t>Yes</t>
        </is>
      </c>
      <c r="H474" s="21" t="n">
        <v>46090</v>
      </c>
      <c r="I474" s="25" t="inlineStr">
        <is>
          <t>No</t>
        </is>
      </c>
      <c r="J474" s="21" t="n"/>
      <c r="K474" s="24" t="n">
        <v/>
      </c>
      <c r="L474" s="22">
        <f>IF(G474="Yes", H474-B474, "")</f>
        <v/>
      </c>
      <c r="M474" s="22">
        <f>IF(I474="Yes", J474-H474, "")</f>
        <v/>
      </c>
      <c r="N474" s="22">
        <f>IF(I474="Yes", J474-B474, "")</f>
        <v/>
      </c>
    </row>
    <row r="475">
      <c r="A475" s="20" t="inlineStr">
        <is>
          <t>LD-1412</t>
        </is>
      </c>
      <c r="B475" s="16" t="n">
        <v>46101</v>
      </c>
      <c r="C475" s="32" t="inlineStr">
        <is>
          <t>Summit Partners</t>
        </is>
      </c>
      <c r="D475" s="32" t="inlineStr">
        <is>
          <t>info@summitpartners.com</t>
        </is>
      </c>
      <c r="E475" s="20" t="inlineStr">
        <is>
          <t>Organic / Direct</t>
        </is>
      </c>
      <c r="F475" s="20" t="inlineStr">
        <is>
          <t>Enterprise</t>
        </is>
      </c>
      <c r="G475" s="20" t="inlineStr">
        <is>
          <t>Yes</t>
        </is>
      </c>
      <c r="H475" s="16" t="n">
        <v>46103</v>
      </c>
      <c r="I475" s="20" t="inlineStr">
        <is>
          <t>Yes</t>
        </is>
      </c>
      <c r="J475" s="16" t="n">
        <v>46112</v>
      </c>
      <c r="K475" s="19" t="n">
        <v>7943</v>
      </c>
      <c r="L475" s="17">
        <f>IF(G475="Yes", H475-B475, "")</f>
        <v/>
      </c>
      <c r="M475" s="17">
        <f>IF(I475="Yes", J475-H475, "")</f>
        <v/>
      </c>
      <c r="N475" s="17">
        <f>IF(I475="Yes", J475-B475, "")</f>
        <v/>
      </c>
    </row>
    <row r="476">
      <c r="A476" s="25" t="inlineStr">
        <is>
          <t>LD-1290</t>
        </is>
      </c>
      <c r="B476" s="21" t="n">
        <v>46129</v>
      </c>
      <c r="C476" s="31" t="inlineStr">
        <is>
          <t>Nova Corp</t>
        </is>
      </c>
      <c r="D476" s="31" t="inlineStr">
        <is>
          <t>info@novacorp.com</t>
        </is>
      </c>
      <c r="E476" s="25" t="inlineStr">
        <is>
          <t>Referral</t>
        </is>
      </c>
      <c r="F476" s="25" t="inlineStr">
        <is>
          <t>SMB</t>
        </is>
      </c>
      <c r="G476" s="25" t="inlineStr">
        <is>
          <t>Yes</t>
        </is>
      </c>
      <c r="H476" s="21" t="n">
        <v>46130</v>
      </c>
      <c r="I476" s="25" t="inlineStr">
        <is>
          <t>No</t>
        </is>
      </c>
      <c r="J476" s="21" t="n"/>
      <c r="K476" s="24" t="n">
        <v/>
      </c>
      <c r="L476" s="22">
        <f>IF(G476="Yes", H476-B476, "")</f>
        <v/>
      </c>
      <c r="M476" s="22">
        <f>IF(I476="Yes", J476-H476, "")</f>
        <v/>
      </c>
      <c r="N476" s="22">
        <f>IF(I476="Yes", J476-B476, "")</f>
        <v/>
      </c>
    </row>
    <row r="477">
      <c r="A477" s="20" t="inlineStr">
        <is>
          <t>LD-1332</t>
        </is>
      </c>
      <c r="B477" s="16" t="n">
        <v>46102</v>
      </c>
      <c r="C477" s="32" t="inlineStr">
        <is>
          <t>Synergy Solutions</t>
        </is>
      </c>
      <c r="D477" s="32" t="inlineStr">
        <is>
          <t>info@synergysolutions.com</t>
        </is>
      </c>
      <c r="E477" s="20" t="inlineStr">
        <is>
          <t>Referral</t>
        </is>
      </c>
      <c r="F477" s="20" t="inlineStr">
        <is>
          <t>Enterprise</t>
        </is>
      </c>
      <c r="G477" s="20" t="inlineStr">
        <is>
          <t>Yes</t>
        </is>
      </c>
      <c r="H477" s="16" t="n">
        <v>46103</v>
      </c>
      <c r="I477" s="20" t="inlineStr">
        <is>
          <t>Yes</t>
        </is>
      </c>
      <c r="J477" s="16" t="n">
        <v>46113</v>
      </c>
      <c r="K477" s="19" t="n">
        <v>3069</v>
      </c>
      <c r="L477" s="17">
        <f>IF(G477="Yes", H477-B477, "")</f>
        <v/>
      </c>
      <c r="M477" s="17">
        <f>IF(I477="Yes", J477-H477, "")</f>
        <v/>
      </c>
      <c r="N477" s="17">
        <f>IF(I477="Yes", J477-B477, "")</f>
        <v/>
      </c>
    </row>
    <row r="478">
      <c r="A478" s="25" t="inlineStr">
        <is>
          <t>LD-1461</t>
        </is>
      </c>
      <c r="B478" s="21" t="n">
        <v>46153</v>
      </c>
      <c r="C478" s="31" t="inlineStr">
        <is>
          <t>Flux Partners</t>
        </is>
      </c>
      <c r="D478" s="31" t="inlineStr">
        <is>
          <t>info@fluxpartners.com</t>
        </is>
      </c>
      <c r="E478" s="25" t="inlineStr">
        <is>
          <t>Referral</t>
        </is>
      </c>
      <c r="F478" s="25" t="inlineStr">
        <is>
          <t>Mid-Market</t>
        </is>
      </c>
      <c r="G478" s="25" t="inlineStr">
        <is>
          <t>No</t>
        </is>
      </c>
      <c r="H478" s="21" t="n"/>
      <c r="I478" s="25" t="inlineStr">
        <is>
          <t>No</t>
        </is>
      </c>
      <c r="J478" s="21" t="n"/>
      <c r="K478" s="24" t="n">
        <v/>
      </c>
      <c r="L478" s="22">
        <f>IF(G478="Yes", H478-B478, "")</f>
        <v/>
      </c>
      <c r="M478" s="22">
        <f>IF(I478="Yes", J478-H478, "")</f>
        <v/>
      </c>
      <c r="N478" s="22">
        <f>IF(I478="Yes", J478-B478, "")</f>
        <v/>
      </c>
    </row>
    <row r="479">
      <c r="A479" s="20" t="inlineStr">
        <is>
          <t>LD-1536</t>
        </is>
      </c>
      <c r="B479" s="16" t="n">
        <v>46137</v>
      </c>
      <c r="C479" s="32" t="inlineStr">
        <is>
          <t>Core Global</t>
        </is>
      </c>
      <c r="D479" s="32" t="inlineStr">
        <is>
          <t>info@coreglobal.com</t>
        </is>
      </c>
      <c r="E479" s="20" t="inlineStr">
        <is>
          <t>Webinar</t>
        </is>
      </c>
      <c r="F479" s="20" t="inlineStr">
        <is>
          <t>SMB</t>
        </is>
      </c>
      <c r="G479" s="20" t="inlineStr">
        <is>
          <t>No</t>
        </is>
      </c>
      <c r="H479" s="16" t="n"/>
      <c r="I479" s="20" t="inlineStr">
        <is>
          <t>No</t>
        </is>
      </c>
      <c r="J479" s="16" t="n"/>
      <c r="K479" s="19" t="n">
        <v/>
      </c>
      <c r="L479" s="17">
        <f>IF(G479="Yes", H479-B479, "")</f>
        <v/>
      </c>
      <c r="M479" s="17">
        <f>IF(I479="Yes", J479-H479, "")</f>
        <v/>
      </c>
      <c r="N479" s="17">
        <f>IF(I479="Yes", J479-B479, "")</f>
        <v/>
      </c>
    </row>
    <row r="480">
      <c r="A480" s="25" t="inlineStr">
        <is>
          <t>LD-1494</t>
        </is>
      </c>
      <c r="B480" s="21" t="n">
        <v>46149</v>
      </c>
      <c r="C480" s="31" t="inlineStr">
        <is>
          <t>Sovereign Group</t>
        </is>
      </c>
      <c r="D480" s="31" t="inlineStr">
        <is>
          <t>info@sovereigngroup.com</t>
        </is>
      </c>
      <c r="E480" s="25" t="inlineStr">
        <is>
          <t>Organic / Direct</t>
        </is>
      </c>
      <c r="F480" s="25" t="inlineStr">
        <is>
          <t>SMB</t>
        </is>
      </c>
      <c r="G480" s="25" t="inlineStr">
        <is>
          <t>Yes</t>
        </is>
      </c>
      <c r="H480" s="21" t="n">
        <v>46152</v>
      </c>
      <c r="I480" s="25" t="inlineStr">
        <is>
          <t>No</t>
        </is>
      </c>
      <c r="J480" s="21" t="n"/>
      <c r="K480" s="24" t="n">
        <v/>
      </c>
      <c r="L480" s="22">
        <f>IF(G480="Yes", H480-B480, "")</f>
        <v/>
      </c>
      <c r="M480" s="22">
        <f>IF(I480="Yes", J480-H480, "")</f>
        <v/>
      </c>
      <c r="N480" s="22">
        <f>IF(I480="Yes", J480-B480, "")</f>
        <v/>
      </c>
    </row>
    <row r="481">
      <c r="A481" s="20" t="inlineStr">
        <is>
          <t>LD-1193</t>
        </is>
      </c>
      <c r="B481" s="16" t="n">
        <v>46150</v>
      </c>
      <c r="C481" s="32" t="inlineStr">
        <is>
          <t>Apex Group</t>
        </is>
      </c>
      <c r="D481" s="32" t="inlineStr">
        <is>
          <t>info@apexgroup.com</t>
        </is>
      </c>
      <c r="E481" s="20" t="inlineStr">
        <is>
          <t>Google</t>
        </is>
      </c>
      <c r="F481" s="20" t="inlineStr">
        <is>
          <t>Mid-Market</t>
        </is>
      </c>
      <c r="G481" s="20" t="inlineStr">
        <is>
          <t>No</t>
        </is>
      </c>
      <c r="H481" s="16" t="n"/>
      <c r="I481" s="20" t="inlineStr">
        <is>
          <t>No</t>
        </is>
      </c>
      <c r="J481" s="16" t="n"/>
      <c r="K481" s="19" t="n">
        <v/>
      </c>
      <c r="L481" s="17">
        <f>IF(G481="Yes", H481-B481, "")</f>
        <v/>
      </c>
      <c r="M481" s="17">
        <f>IF(I481="Yes", J481-H481, "")</f>
        <v/>
      </c>
      <c r="N481" s="17">
        <f>IF(I481="Yes", J481-B481, "")</f>
        <v/>
      </c>
    </row>
    <row r="482">
      <c r="A482" s="25" t="inlineStr">
        <is>
          <t>LD-1067</t>
        </is>
      </c>
      <c r="B482" s="21" t="n">
        <v>46126</v>
      </c>
      <c r="C482" s="31" t="inlineStr">
        <is>
          <t>Pulse Co</t>
        </is>
      </c>
      <c r="D482" s="31" t="inlineStr">
        <is>
          <t>info@pulseco.com</t>
        </is>
      </c>
      <c r="E482" s="25" t="inlineStr">
        <is>
          <t>LinkedIn</t>
        </is>
      </c>
      <c r="F482" s="25" t="inlineStr">
        <is>
          <t>Mid-Market</t>
        </is>
      </c>
      <c r="G482" s="25" t="inlineStr">
        <is>
          <t>Yes</t>
        </is>
      </c>
      <c r="H482" s="21" t="n">
        <v>46130</v>
      </c>
      <c r="I482" s="25" t="inlineStr">
        <is>
          <t>No</t>
        </is>
      </c>
      <c r="J482" s="21" t="n"/>
      <c r="K482" s="24" t="n">
        <v/>
      </c>
      <c r="L482" s="22">
        <f>IF(G482="Yes", H482-B482, "")</f>
        <v/>
      </c>
      <c r="M482" s="22">
        <f>IF(I482="Yes", J482-H482, "")</f>
        <v/>
      </c>
      <c r="N482" s="22">
        <f>IF(I482="Yes", J482-B482, "")</f>
        <v/>
      </c>
    </row>
    <row r="483">
      <c r="A483" s="20" t="inlineStr">
        <is>
          <t>LD-1310</t>
        </is>
      </c>
      <c r="B483" s="16" t="n">
        <v>46124</v>
      </c>
      <c r="C483" s="32" t="inlineStr">
        <is>
          <t>Beacon Solutions</t>
        </is>
      </c>
      <c r="D483" s="32" t="inlineStr">
        <is>
          <t>info@beaconsolutions.com</t>
        </is>
      </c>
      <c r="E483" s="20" t="inlineStr">
        <is>
          <t>LinkedIn</t>
        </is>
      </c>
      <c r="F483" s="20" t="inlineStr">
        <is>
          <t>SMB</t>
        </is>
      </c>
      <c r="G483" s="20" t="inlineStr">
        <is>
          <t>No</t>
        </is>
      </c>
      <c r="H483" s="16" t="n"/>
      <c r="I483" s="20" t="inlineStr">
        <is>
          <t>No</t>
        </is>
      </c>
      <c r="J483" s="16" t="n"/>
      <c r="K483" s="19" t="n">
        <v/>
      </c>
      <c r="L483" s="17">
        <f>IF(G483="Yes", H483-B483, "")</f>
        <v/>
      </c>
      <c r="M483" s="17">
        <f>IF(I483="Yes", J483-H483, "")</f>
        <v/>
      </c>
      <c r="N483" s="17">
        <f>IF(I483="Yes", J483-B483, "")</f>
        <v/>
      </c>
    </row>
    <row r="484">
      <c r="A484" s="25" t="inlineStr">
        <is>
          <t>LD-1439</t>
        </is>
      </c>
      <c r="B484" s="21" t="n">
        <v>46114</v>
      </c>
      <c r="C484" s="31" t="inlineStr">
        <is>
          <t>Helix Corp</t>
        </is>
      </c>
      <c r="D484" s="31" t="inlineStr">
        <is>
          <t>info@helixcorp.com</t>
        </is>
      </c>
      <c r="E484" s="25" t="inlineStr">
        <is>
          <t>Cold Outreach</t>
        </is>
      </c>
      <c r="F484" s="25" t="inlineStr">
        <is>
          <t>SMB</t>
        </is>
      </c>
      <c r="G484" s="25" t="inlineStr">
        <is>
          <t>Yes</t>
        </is>
      </c>
      <c r="H484" s="21" t="n">
        <v>46123</v>
      </c>
      <c r="I484" s="25" t="inlineStr">
        <is>
          <t>Yes</t>
        </is>
      </c>
      <c r="J484" s="21" t="n">
        <v>46137</v>
      </c>
      <c r="K484" s="24" t="n">
        <v>190</v>
      </c>
      <c r="L484" s="22">
        <f>IF(G484="Yes", H484-B484, "")</f>
        <v/>
      </c>
      <c r="M484" s="22">
        <f>IF(I484="Yes", J484-H484, "")</f>
        <v/>
      </c>
      <c r="N484" s="22">
        <f>IF(I484="Yes", J484-B484, "")</f>
        <v/>
      </c>
    </row>
    <row r="485">
      <c r="A485" s="20" t="inlineStr">
        <is>
          <t>LD-1045</t>
        </is>
      </c>
      <c r="B485" s="16" t="n">
        <v>46091</v>
      </c>
      <c r="C485" s="32" t="inlineStr">
        <is>
          <t>Shift Solutions</t>
        </is>
      </c>
      <c r="D485" s="32" t="inlineStr">
        <is>
          <t>info@shiftsolutions.com</t>
        </is>
      </c>
      <c r="E485" s="20" t="inlineStr">
        <is>
          <t>Referral</t>
        </is>
      </c>
      <c r="F485" s="20" t="inlineStr">
        <is>
          <t>SMB</t>
        </is>
      </c>
      <c r="G485" s="20" t="inlineStr">
        <is>
          <t>Yes</t>
        </is>
      </c>
      <c r="H485" s="16" t="n">
        <v>46092</v>
      </c>
      <c r="I485" s="20" t="inlineStr">
        <is>
          <t>No</t>
        </is>
      </c>
      <c r="J485" s="16" t="n"/>
      <c r="K485" s="19" t="n">
        <v/>
      </c>
      <c r="L485" s="17">
        <f>IF(G485="Yes", H485-B485, "")</f>
        <v/>
      </c>
      <c r="M485" s="17">
        <f>IF(I485="Yes", J485-H485, "")</f>
        <v/>
      </c>
      <c r="N485" s="17">
        <f>IF(I485="Yes", J485-B485, "")</f>
        <v/>
      </c>
    </row>
    <row r="486">
      <c r="A486" s="25" t="inlineStr">
        <is>
          <t>LD-1062</t>
        </is>
      </c>
      <c r="B486" s="21" t="n">
        <v>46116</v>
      </c>
      <c r="C486" s="31" t="inlineStr">
        <is>
          <t>Pulse Partners</t>
        </is>
      </c>
      <c r="D486" s="31" t="inlineStr">
        <is>
          <t>info@pulsepartners.com</t>
        </is>
      </c>
      <c r="E486" s="25" t="inlineStr">
        <is>
          <t>Cold Outreach</t>
        </is>
      </c>
      <c r="F486" s="25" t="inlineStr">
        <is>
          <t>Mid-Market</t>
        </is>
      </c>
      <c r="G486" s="25" t="inlineStr">
        <is>
          <t>Yes</t>
        </is>
      </c>
      <c r="H486" s="21" t="n">
        <v>46120</v>
      </c>
      <c r="I486" s="25" t="inlineStr">
        <is>
          <t>No</t>
        </is>
      </c>
      <c r="J486" s="21" t="n"/>
      <c r="K486" s="24" t="n">
        <v/>
      </c>
      <c r="L486" s="22">
        <f>IF(G486="Yes", H486-B486, "")</f>
        <v/>
      </c>
      <c r="M486" s="22">
        <f>IF(I486="Yes", J486-H486, "")</f>
        <v/>
      </c>
      <c r="N486" s="22">
        <f>IF(I486="Yes", J486-B486, "")</f>
        <v/>
      </c>
    </row>
    <row r="487">
      <c r="A487" s="20" t="inlineStr">
        <is>
          <t>LD-1532</t>
        </is>
      </c>
      <c r="B487" s="16" t="n">
        <v>46092</v>
      </c>
      <c r="C487" s="32" t="inlineStr">
        <is>
          <t>Sovereign Corp</t>
        </is>
      </c>
      <c r="D487" s="32" t="inlineStr">
        <is>
          <t>info@sovereigncorp.com</t>
        </is>
      </c>
      <c r="E487" s="20" t="inlineStr">
        <is>
          <t>Referral</t>
        </is>
      </c>
      <c r="F487" s="20" t="inlineStr">
        <is>
          <t>SMB</t>
        </is>
      </c>
      <c r="G487" s="20" t="inlineStr">
        <is>
          <t>Yes</t>
        </is>
      </c>
      <c r="H487" s="16" t="n">
        <v>46100</v>
      </c>
      <c r="I487" s="20" t="inlineStr">
        <is>
          <t>No</t>
        </is>
      </c>
      <c r="J487" s="16" t="n"/>
      <c r="K487" s="19" t="n">
        <v/>
      </c>
      <c r="L487" s="17">
        <f>IF(G487="Yes", H487-B487, "")</f>
        <v/>
      </c>
      <c r="M487" s="17">
        <f>IF(I487="Yes", J487-H487, "")</f>
        <v/>
      </c>
      <c r="N487" s="17">
        <f>IF(I487="Yes", J487-B487, "")</f>
        <v/>
      </c>
    </row>
    <row r="488">
      <c r="A488" s="25" t="inlineStr">
        <is>
          <t>LD-1063</t>
        </is>
      </c>
      <c r="B488" s="21" t="n">
        <v>46093</v>
      </c>
      <c r="C488" s="31" t="inlineStr">
        <is>
          <t>Alpha Solutions</t>
        </is>
      </c>
      <c r="D488" s="31" t="inlineStr">
        <is>
          <t>info@alphasolutions.com</t>
        </is>
      </c>
      <c r="E488" s="25" t="inlineStr">
        <is>
          <t>Webinar</t>
        </is>
      </c>
      <c r="F488" s="25" t="inlineStr">
        <is>
          <t>Mid-Market</t>
        </is>
      </c>
      <c r="G488" s="25" t="inlineStr">
        <is>
          <t>Yes</t>
        </is>
      </c>
      <c r="H488" s="21" t="n">
        <v>46101</v>
      </c>
      <c r="I488" s="25" t="inlineStr">
        <is>
          <t>No</t>
        </is>
      </c>
      <c r="J488" s="21" t="n"/>
      <c r="K488" s="24" t="n">
        <v/>
      </c>
      <c r="L488" s="22">
        <f>IF(G488="Yes", H488-B488, "")</f>
        <v/>
      </c>
      <c r="M488" s="22">
        <f>IF(I488="Yes", J488-H488, "")</f>
        <v/>
      </c>
      <c r="N488" s="22">
        <f>IF(I488="Yes", J488-B488, "")</f>
        <v/>
      </c>
    </row>
    <row r="489">
      <c r="A489" s="20" t="inlineStr">
        <is>
          <t>LD-1327</t>
        </is>
      </c>
      <c r="B489" s="16" t="n">
        <v>46164</v>
      </c>
      <c r="C489" s="32" t="inlineStr">
        <is>
          <t>Alpha Solutions</t>
        </is>
      </c>
      <c r="D489" s="32" t="inlineStr">
        <is>
          <t>info@alphasolutions.com</t>
        </is>
      </c>
      <c r="E489" s="20" t="inlineStr">
        <is>
          <t>Referral</t>
        </is>
      </c>
      <c r="F489" s="20" t="inlineStr">
        <is>
          <t>Enterprise</t>
        </is>
      </c>
      <c r="G489" s="20" t="inlineStr">
        <is>
          <t>No</t>
        </is>
      </c>
      <c r="H489" s="16" t="n"/>
      <c r="I489" s="20" t="inlineStr">
        <is>
          <t>No</t>
        </is>
      </c>
      <c r="J489" s="16" t="n"/>
      <c r="K489" s="19" t="n">
        <v/>
      </c>
      <c r="L489" s="17">
        <f>IF(G489="Yes", H489-B489, "")</f>
        <v/>
      </c>
      <c r="M489" s="17">
        <f>IF(I489="Yes", J489-H489, "")</f>
        <v/>
      </c>
      <c r="N489" s="17">
        <f>IF(I489="Yes", J489-B489, "")</f>
        <v/>
      </c>
    </row>
    <row r="490">
      <c r="A490" s="25" t="inlineStr">
        <is>
          <t>LD-1307</t>
        </is>
      </c>
      <c r="B490" s="21" t="n">
        <v>46110</v>
      </c>
      <c r="C490" s="31" t="inlineStr">
        <is>
          <t>Summit LLC</t>
        </is>
      </c>
      <c r="D490" s="31" t="inlineStr">
        <is>
          <t>info@summitllc.com</t>
        </is>
      </c>
      <c r="E490" s="25" t="inlineStr">
        <is>
          <t>Google</t>
        </is>
      </c>
      <c r="F490" s="25" t="inlineStr">
        <is>
          <t>SMB</t>
        </is>
      </c>
      <c r="G490" s="25" t="inlineStr">
        <is>
          <t>No</t>
        </is>
      </c>
      <c r="H490" s="21" t="n"/>
      <c r="I490" s="25" t="inlineStr">
        <is>
          <t>No</t>
        </is>
      </c>
      <c r="J490" s="21" t="n"/>
      <c r="K490" s="24" t="n">
        <v/>
      </c>
      <c r="L490" s="22">
        <f>IF(G490="Yes", H490-B490, "")</f>
        <v/>
      </c>
      <c r="M490" s="22">
        <f>IF(I490="Yes", J490-H490, "")</f>
        <v/>
      </c>
      <c r="N490" s="22">
        <f>IF(I490="Yes", J490-B490, "")</f>
        <v/>
      </c>
    </row>
    <row r="491">
      <c r="A491" s="20" t="inlineStr">
        <is>
          <t>LD-1487</t>
        </is>
      </c>
      <c r="B491" s="16" t="n">
        <v>46149</v>
      </c>
      <c r="C491" s="32" t="inlineStr">
        <is>
          <t>Summit Inc</t>
        </is>
      </c>
      <c r="D491" s="32" t="inlineStr">
        <is>
          <t>info@summitinc.com</t>
        </is>
      </c>
      <c r="E491" s="20" t="inlineStr">
        <is>
          <t>Cold Outreach</t>
        </is>
      </c>
      <c r="F491" s="20" t="inlineStr">
        <is>
          <t>Mid-Market</t>
        </is>
      </c>
      <c r="G491" s="20" t="inlineStr">
        <is>
          <t>Yes</t>
        </is>
      </c>
      <c r="H491" s="16" t="n">
        <v>46150</v>
      </c>
      <c r="I491" s="20" t="inlineStr">
        <is>
          <t>Yes</t>
        </is>
      </c>
      <c r="J491" s="16" t="n">
        <v>46163</v>
      </c>
      <c r="K491" s="19" t="n">
        <v>1178</v>
      </c>
      <c r="L491" s="17">
        <f>IF(G491="Yes", H491-B491, "")</f>
        <v/>
      </c>
      <c r="M491" s="17">
        <f>IF(I491="Yes", J491-H491, "")</f>
        <v/>
      </c>
      <c r="N491" s="17">
        <f>IF(I491="Yes", J491-B491, "")</f>
        <v/>
      </c>
    </row>
    <row r="492">
      <c r="A492" s="25" t="inlineStr">
        <is>
          <t>LD-1112</t>
        </is>
      </c>
      <c r="B492" s="21" t="n">
        <v>46166</v>
      </c>
      <c r="C492" s="31" t="inlineStr">
        <is>
          <t>Alpha Inc</t>
        </is>
      </c>
      <c r="D492" s="31" t="inlineStr">
        <is>
          <t>info@alphainc.com</t>
        </is>
      </c>
      <c r="E492" s="25" t="inlineStr">
        <is>
          <t>Referral</t>
        </is>
      </c>
      <c r="F492" s="25" t="inlineStr">
        <is>
          <t>Mid-Market</t>
        </is>
      </c>
      <c r="G492" s="25" t="inlineStr">
        <is>
          <t>No</t>
        </is>
      </c>
      <c r="H492" s="21" t="n"/>
      <c r="I492" s="25" t="inlineStr">
        <is>
          <t>No</t>
        </is>
      </c>
      <c r="J492" s="21" t="n"/>
      <c r="K492" s="24" t="n">
        <v/>
      </c>
      <c r="L492" s="22">
        <f>IF(G492="Yes", H492-B492, "")</f>
        <v/>
      </c>
      <c r="M492" s="22">
        <f>IF(I492="Yes", J492-H492, "")</f>
        <v/>
      </c>
      <c r="N492" s="22">
        <f>IF(I492="Yes", J492-B492, "")</f>
        <v/>
      </c>
    </row>
    <row r="493">
      <c r="A493" s="20" t="inlineStr">
        <is>
          <t>LD-1428</t>
        </is>
      </c>
      <c r="B493" s="16" t="n">
        <v>46127</v>
      </c>
      <c r="C493" s="32" t="inlineStr">
        <is>
          <t>Acme Technologies</t>
        </is>
      </c>
      <c r="D493" s="32" t="inlineStr">
        <is>
          <t>info@acmetechnologies.com</t>
        </is>
      </c>
      <c r="E493" s="20" t="inlineStr">
        <is>
          <t>Webinar</t>
        </is>
      </c>
      <c r="F493" s="20" t="inlineStr">
        <is>
          <t>Enterprise</t>
        </is>
      </c>
      <c r="G493" s="20" t="inlineStr">
        <is>
          <t>No</t>
        </is>
      </c>
      <c r="H493" s="16" t="n"/>
      <c r="I493" s="20" t="inlineStr">
        <is>
          <t>No</t>
        </is>
      </c>
      <c r="J493" s="16" t="n"/>
      <c r="K493" s="19" t="n">
        <v/>
      </c>
      <c r="L493" s="17">
        <f>IF(G493="Yes", H493-B493, "")</f>
        <v/>
      </c>
      <c r="M493" s="17">
        <f>IF(I493="Yes", J493-H493, "")</f>
        <v/>
      </c>
      <c r="N493" s="17">
        <f>IF(I493="Yes", J493-B493, "")</f>
        <v/>
      </c>
    </row>
    <row r="494"/>
    <row r="495">
      <c r="A495" s="20" t="inlineStr">
        <is>
          <t>LD-1337</t>
        </is>
      </c>
      <c r="B495" s="16" t="n">
        <v>46133</v>
      </c>
      <c r="C495" s="32" t="inlineStr">
        <is>
          <t>Apex Solutions</t>
        </is>
      </c>
      <c r="D495" s="32" t="inlineStr">
        <is>
          <t>info@apexsolutions.com</t>
        </is>
      </c>
      <c r="E495" s="20" t="inlineStr">
        <is>
          <t>Webinar</t>
        </is>
      </c>
      <c r="F495" s="20" t="inlineStr">
        <is>
          <t>Enterprise</t>
        </is>
      </c>
      <c r="G495" s="20" t="inlineStr">
        <is>
          <t>Yes</t>
        </is>
      </c>
      <c r="H495" s="16" t="n">
        <v>46141</v>
      </c>
      <c r="I495" s="20" t="inlineStr">
        <is>
          <t>No</t>
        </is>
      </c>
      <c r="J495" s="16" t="n"/>
      <c r="K495" s="19" t="n">
        <v/>
      </c>
      <c r="L495" s="17">
        <f>IF(G495="Yes", H495-B495, "")</f>
        <v/>
      </c>
      <c r="M495" s="17">
        <f>IF(I495="Yes", J495-H495, "")</f>
        <v/>
      </c>
      <c r="N495" s="17">
        <f>IF(I495="Yes", J495-B495, "")</f>
        <v/>
      </c>
    </row>
    <row r="496">
      <c r="A496" s="25" t="inlineStr">
        <is>
          <t>LD-1305</t>
        </is>
      </c>
      <c r="B496" s="21" t="n">
        <v>46100</v>
      </c>
      <c r="C496" s="31" t="inlineStr">
        <is>
          <t>Cloud Co</t>
        </is>
      </c>
      <c r="D496" s="31" t="inlineStr">
        <is>
          <t>info@cloudco.com</t>
        </is>
      </c>
      <c r="E496" s="25" t="inlineStr">
        <is>
          <t>Webinar</t>
        </is>
      </c>
      <c r="F496" s="25" t="inlineStr">
        <is>
          <t>Mid-Market</t>
        </is>
      </c>
      <c r="G496" s="25" t="inlineStr">
        <is>
          <t>Yes</t>
        </is>
      </c>
      <c r="H496" s="21" t="n">
        <v>46106</v>
      </c>
      <c r="I496" s="25" t="inlineStr">
        <is>
          <t>No</t>
        </is>
      </c>
      <c r="J496" s="21" t="n"/>
      <c r="K496" s="24" t="n">
        <v/>
      </c>
      <c r="L496" s="22">
        <f>IF(G496="Yes", H496-B496, "")</f>
        <v/>
      </c>
      <c r="M496" s="22">
        <f>IF(I496="Yes", J496-H496, "")</f>
        <v/>
      </c>
      <c r="N496" s="22">
        <f>IF(I496="Yes", J496-B496, "")</f>
        <v/>
      </c>
    </row>
    <row r="497">
      <c r="A497" s="20" t="inlineStr">
        <is>
          <t>LD-1481</t>
        </is>
      </c>
      <c r="B497" s="16" t="n">
        <v>46165</v>
      </c>
      <c r="C497" s="32" t="inlineStr">
        <is>
          <t>Pulse Global</t>
        </is>
      </c>
      <c r="D497" s="32" t="inlineStr">
        <is>
          <t>info@pulseglobal.com</t>
        </is>
      </c>
      <c r="E497" s="20" t="inlineStr">
        <is>
          <t>Organic / Direct</t>
        </is>
      </c>
      <c r="F497" s="20" t="inlineStr">
        <is>
          <t>Mid-Market</t>
        </is>
      </c>
      <c r="G497" s="20" t="inlineStr">
        <is>
          <t>Yes</t>
        </is>
      </c>
      <c r="H497" s="16" t="n">
        <v>46175</v>
      </c>
      <c r="I497" s="20" t="inlineStr">
        <is>
          <t>Yes</t>
        </is>
      </c>
      <c r="J497" s="16" t="n">
        <v>46185</v>
      </c>
      <c r="K497" s="19" t="n">
        <v>933</v>
      </c>
      <c r="L497" s="17">
        <f>IF(G497="Yes", H497-B497, "")</f>
        <v/>
      </c>
      <c r="M497" s="17">
        <f>IF(I497="Yes", J497-H497, "")</f>
        <v/>
      </c>
      <c r="N497" s="17">
        <f>IF(I497="Yes", J497-B497, "")</f>
        <v/>
      </c>
    </row>
    <row r="498">
      <c r="A498" s="25" t="inlineStr">
        <is>
          <t>LD-1030</t>
        </is>
      </c>
      <c r="B498" s="21" t="n">
        <v>46120</v>
      </c>
      <c r="C498" s="31" t="inlineStr">
        <is>
          <t>Cloud Inc</t>
        </is>
      </c>
      <c r="D498" s="31" t="inlineStr">
        <is>
          <t>info@cloudinc.com</t>
        </is>
      </c>
      <c r="E498" s="25" t="inlineStr">
        <is>
          <t>Webinar</t>
        </is>
      </c>
      <c r="F498" s="25" t="inlineStr">
        <is>
          <t>SMB</t>
        </is>
      </c>
      <c r="G498" s="25" t="inlineStr">
        <is>
          <t>No</t>
        </is>
      </c>
      <c r="H498" s="21" t="n"/>
      <c r="I498" s="25" t="inlineStr">
        <is>
          <t>No</t>
        </is>
      </c>
      <c r="J498" s="21" t="n"/>
      <c r="K498" s="24" t="n">
        <v/>
      </c>
      <c r="L498" s="22">
        <f>IF(G498="Yes", H498-B498, "")</f>
        <v/>
      </c>
      <c r="M498" s="22">
        <f>IF(I498="Yes", J498-H498, "")</f>
        <v/>
      </c>
      <c r="N498" s="22">
        <f>IF(I498="Yes", J498-B498, "")</f>
        <v/>
      </c>
    </row>
    <row r="499">
      <c r="A499" s="20" t="inlineStr">
        <is>
          <t>LD-1048</t>
        </is>
      </c>
      <c r="B499" s="16" t="n">
        <v>46136</v>
      </c>
      <c r="C499" s="32" t="inlineStr">
        <is>
          <t>Pulse Partners</t>
        </is>
      </c>
      <c r="D499" s="32" t="inlineStr">
        <is>
          <t>info@pulsepartners.com</t>
        </is>
      </c>
      <c r="E499" s="20" t="inlineStr">
        <is>
          <t>Referral</t>
        </is>
      </c>
      <c r="F499" s="20" t="inlineStr">
        <is>
          <t>Mid-Market</t>
        </is>
      </c>
      <c r="G499" s="20" t="inlineStr">
        <is>
          <t>Yes</t>
        </is>
      </c>
      <c r="H499" s="16" t="n">
        <v>46140</v>
      </c>
      <c r="I499" s="20" t="inlineStr">
        <is>
          <t>No</t>
        </is>
      </c>
      <c r="J499" s="16" t="n"/>
      <c r="K499" s="19" t="n">
        <v/>
      </c>
      <c r="L499" s="17">
        <f>IF(G499="Yes", H499-B499, "")</f>
        <v/>
      </c>
      <c r="M499" s="17">
        <f>IF(I499="Yes", J499-H499, "")</f>
        <v/>
      </c>
      <c r="N499" s="17">
        <f>IF(I499="Yes", J499-B499, "")</f>
        <v/>
      </c>
    </row>
    <row r="500">
      <c r="A500" s="25" t="inlineStr">
        <is>
          <t>LD-1318</t>
        </is>
      </c>
      <c r="B500" s="21" t="n">
        <v>46129</v>
      </c>
      <c r="C500" s="31" t="inlineStr">
        <is>
          <t>Alpha Inc</t>
        </is>
      </c>
      <c r="D500" s="31" t="inlineStr">
        <is>
          <t>info@alphainc.com</t>
        </is>
      </c>
      <c r="E500" s="25" t="inlineStr">
        <is>
          <t>LinkedIn</t>
        </is>
      </c>
      <c r="F500" s="25" t="inlineStr">
        <is>
          <t>Mid-Market</t>
        </is>
      </c>
      <c r="G500" s="25" t="inlineStr">
        <is>
          <t>Yes</t>
        </is>
      </c>
      <c r="H500" s="21" t="n">
        <v>46132</v>
      </c>
      <c r="I500" s="25" t="inlineStr">
        <is>
          <t>No</t>
        </is>
      </c>
      <c r="J500" s="21" t="n"/>
      <c r="K500" s="24" t="n">
        <v/>
      </c>
      <c r="L500" s="22">
        <f>IF(G500="Yes", H500-B500, "")</f>
        <v/>
      </c>
      <c r="M500" s="22">
        <f>IF(I500="Yes", J500-H500, "")</f>
        <v/>
      </c>
      <c r="N500" s="22">
        <f>IF(I500="Yes", J500-B500, "")</f>
        <v/>
      </c>
    </row>
    <row r="501">
      <c r="A501" s="20" t="inlineStr">
        <is>
          <t>LD-1514</t>
        </is>
      </c>
      <c r="B501" s="16" t="n">
        <v>46115</v>
      </c>
      <c r="C501" s="32" t="inlineStr">
        <is>
          <t>Bold Co</t>
        </is>
      </c>
      <c r="D501" s="32" t="inlineStr">
        <is>
          <t>info@boldco.com</t>
        </is>
      </c>
      <c r="E501" s="20" t="inlineStr">
        <is>
          <t>Referral</t>
        </is>
      </c>
      <c r="F501" s="20" t="inlineStr">
        <is>
          <t>Enterprise</t>
        </is>
      </c>
      <c r="G501" s="20" t="inlineStr">
        <is>
          <t>No</t>
        </is>
      </c>
      <c r="H501" s="16" t="n"/>
      <c r="I501" s="20" t="inlineStr">
        <is>
          <t>No</t>
        </is>
      </c>
      <c r="J501" s="16" t="n"/>
      <c r="K501" s="19" t="n">
        <v/>
      </c>
      <c r="L501" s="17">
        <f>IF(G501="Yes", H501-B501, "")</f>
        <v/>
      </c>
      <c r="M501" s="17">
        <f>IF(I501="Yes", J501-H501, "")</f>
        <v/>
      </c>
      <c r="N501" s="17">
        <f>IF(I501="Yes", J501-B501, "")</f>
        <v/>
      </c>
    </row>
    <row r="502">
      <c r="A502" s="25" t="inlineStr">
        <is>
          <t>LD-1018</t>
        </is>
      </c>
      <c r="B502" s="21" t="n">
        <v>46111</v>
      </c>
      <c r="C502" s="31" t="inlineStr">
        <is>
          <t>Acme Corp</t>
        </is>
      </c>
      <c r="D502" s="31" t="inlineStr">
        <is>
          <t>info@acmecorp.com</t>
        </is>
      </c>
      <c r="E502" s="25" t="inlineStr">
        <is>
          <t>Google</t>
        </is>
      </c>
      <c r="F502" s="25" t="inlineStr">
        <is>
          <t>SMB</t>
        </is>
      </c>
      <c r="G502" s="25" t="inlineStr">
        <is>
          <t>No</t>
        </is>
      </c>
      <c r="H502" s="21" t="n"/>
      <c r="I502" s="25" t="inlineStr">
        <is>
          <t>No</t>
        </is>
      </c>
      <c r="J502" s="21" t="n"/>
      <c r="K502" s="24" t="n">
        <v/>
      </c>
      <c r="L502" s="22">
        <f>IF(G502="Yes", H502-B502, "")</f>
        <v/>
      </c>
      <c r="M502" s="22">
        <f>IF(I502="Yes", J502-H502, "")</f>
        <v/>
      </c>
      <c r="N502" s="22">
        <f>IF(I502="Yes", J502-B502, "")</f>
        <v/>
      </c>
    </row>
    <row r="503">
      <c r="A503" s="20" t="inlineStr">
        <is>
          <t>LD-1099</t>
        </is>
      </c>
      <c r="B503" s="16" t="n">
        <v>46151</v>
      </c>
      <c r="C503" s="32" t="inlineStr">
        <is>
          <t>Cloud Technologies</t>
        </is>
      </c>
      <c r="D503" s="32" t="inlineStr">
        <is>
          <t>info@cloudtechnologies.com</t>
        </is>
      </c>
      <c r="E503" s="20" t="inlineStr">
        <is>
          <t>Referral</t>
        </is>
      </c>
      <c r="F503" s="20" t="inlineStr">
        <is>
          <t>Mid-Market</t>
        </is>
      </c>
      <c r="G503" s="20" t="inlineStr">
        <is>
          <t>No</t>
        </is>
      </c>
      <c r="H503" s="16" t="n"/>
      <c r="I503" s="20" t="inlineStr">
        <is>
          <t>No</t>
        </is>
      </c>
      <c r="J503" s="16" t="n"/>
      <c r="K503" s="19" t="n">
        <v/>
      </c>
      <c r="L503" s="17">
        <f>IF(G503="Yes", H503-B503, "")</f>
        <v/>
      </c>
      <c r="M503" s="17">
        <f>IF(I503="Yes", J503-H503, "")</f>
        <v/>
      </c>
      <c r="N503" s="17">
        <f>IF(I503="Yes", J503-B503, "")</f>
        <v/>
      </c>
    </row>
    <row r="504">
      <c r="A504" s="25" t="inlineStr">
        <is>
          <t>LD-1129</t>
        </is>
      </c>
      <c r="B504" s="21" t="n">
        <v>46121</v>
      </c>
      <c r="C504" s="31" t="inlineStr">
        <is>
          <t>Synergy Co</t>
        </is>
      </c>
      <c r="D504" s="31" t="inlineStr">
        <is>
          <t>info@synergyco.com</t>
        </is>
      </c>
      <c r="E504" s="25" t="inlineStr">
        <is>
          <t>Webinar</t>
        </is>
      </c>
      <c r="F504" s="25" t="inlineStr">
        <is>
          <t>SMB</t>
        </is>
      </c>
      <c r="G504" s="25" t="inlineStr">
        <is>
          <t>Yes</t>
        </is>
      </c>
      <c r="H504" s="21" t="n">
        <v>46125</v>
      </c>
      <c r="I504" s="25" t="inlineStr">
        <is>
          <t>No</t>
        </is>
      </c>
      <c r="J504" s="21" t="n"/>
      <c r="K504" s="24" t="n">
        <v/>
      </c>
      <c r="L504" s="22">
        <f>IF(G504="Yes", H504-B504, "")</f>
        <v/>
      </c>
      <c r="M504" s="22">
        <f>IF(I504="Yes", J504-H504, "")</f>
        <v/>
      </c>
      <c r="N504" s="22">
        <f>IF(I504="Yes", J504-B504, "")</f>
        <v/>
      </c>
    </row>
    <row r="505">
      <c r="A505" s="20" t="inlineStr">
        <is>
          <t>LD-1146</t>
        </is>
      </c>
      <c r="B505" s="16" t="n">
        <v>46100</v>
      </c>
      <c r="C505" s="32" t="inlineStr">
        <is>
          <t>Stellar Partners</t>
        </is>
      </c>
      <c r="D505" s="32" t="inlineStr">
        <is>
          <t>info@stellarpartners.com</t>
        </is>
      </c>
      <c r="E505" s="20" t="inlineStr">
        <is>
          <t>Organic / Direct</t>
        </is>
      </c>
      <c r="F505" s="20" t="inlineStr">
        <is>
          <t>Mid-Market</t>
        </is>
      </c>
      <c r="G505" s="20" t="inlineStr">
        <is>
          <t>Yes</t>
        </is>
      </c>
      <c r="H505" s="16" t="n">
        <v>46101</v>
      </c>
      <c r="I505" s="20" t="inlineStr">
        <is>
          <t>No</t>
        </is>
      </c>
      <c r="J505" s="16" t="n"/>
      <c r="K505" s="19" t="n">
        <v/>
      </c>
      <c r="L505" s="17">
        <f>IF(G505="Yes", H505-B505, "")</f>
        <v/>
      </c>
      <c r="M505" s="17">
        <f>IF(I505="Yes", J505-H505, "")</f>
        <v/>
      </c>
      <c r="N505" s="17">
        <f>IF(I505="Yes", J505-B505, "")</f>
        <v/>
      </c>
    </row>
    <row r="506">
      <c r="A506" s="25" t="inlineStr">
        <is>
          <t>LD-1372</t>
        </is>
      </c>
      <c r="B506" s="21" t="n">
        <v>46152</v>
      </c>
      <c r="C506" s="31" t="inlineStr">
        <is>
          <t>Quantum Solutions</t>
        </is>
      </c>
      <c r="D506" s="31" t="inlineStr">
        <is>
          <t>info@quantumsolutions.com</t>
        </is>
      </c>
      <c r="E506" s="25" t="inlineStr">
        <is>
          <t>Webinar</t>
        </is>
      </c>
      <c r="F506" s="25" t="inlineStr">
        <is>
          <t>Mid-Market</t>
        </is>
      </c>
      <c r="G506" s="25" t="inlineStr">
        <is>
          <t>No</t>
        </is>
      </c>
      <c r="H506" s="21" t="n"/>
      <c r="I506" s="25" t="inlineStr">
        <is>
          <t>No</t>
        </is>
      </c>
      <c r="J506" s="21" t="n"/>
      <c r="K506" s="24" t="n">
        <v/>
      </c>
      <c r="L506" s="22">
        <f>IF(G506="Yes", H506-B506, "")</f>
        <v/>
      </c>
      <c r="M506" s="22">
        <f>IF(I506="Yes", J506-H506, "")</f>
        <v/>
      </c>
      <c r="N506" s="22">
        <f>IF(I506="Yes", J506-B506, "")</f>
        <v/>
      </c>
    </row>
    <row r="507">
      <c r="A507" s="20" t="inlineStr">
        <is>
          <t>LD-1113</t>
        </is>
      </c>
      <c r="B507" s="16" t="n">
        <v>46144</v>
      </c>
      <c r="C507" s="32" t="inlineStr">
        <is>
          <t>Alpha Corp</t>
        </is>
      </c>
      <c r="D507" s="32" t="inlineStr">
        <is>
          <t>info@alphacorp.com</t>
        </is>
      </c>
      <c r="E507" s="20" t="inlineStr">
        <is>
          <t>Google</t>
        </is>
      </c>
      <c r="F507" s="20" t="inlineStr">
        <is>
          <t>SMB</t>
        </is>
      </c>
      <c r="G507" s="20" t="inlineStr">
        <is>
          <t>Yes</t>
        </is>
      </c>
      <c r="H507" s="16" t="n">
        <v>46154</v>
      </c>
      <c r="I507" s="20" t="inlineStr">
        <is>
          <t>No</t>
        </is>
      </c>
      <c r="J507" s="16" t="n"/>
      <c r="K507" s="19" t="n">
        <v/>
      </c>
      <c r="L507" s="17">
        <f>IF(G507="Yes", H507-B507, "")</f>
        <v/>
      </c>
      <c r="M507" s="17">
        <f>IF(I507="Yes", J507-H507, "")</f>
        <v/>
      </c>
      <c r="N507" s="17">
        <f>IF(I507="Yes", J507-B507, "")</f>
        <v/>
      </c>
    </row>
    <row r="508"/>
    <row r="509">
      <c r="A509" s="20" t="inlineStr">
        <is>
          <t>LD-1229</t>
        </is>
      </c>
      <c r="B509" s="16" t="n">
        <v>46131</v>
      </c>
      <c r="C509" s="32" t="inlineStr">
        <is>
          <t>Pulse Co</t>
        </is>
      </c>
      <c r="D509" s="32" t="inlineStr">
        <is>
          <t>info@pulseco.com</t>
        </is>
      </c>
      <c r="E509" s="20" t="inlineStr">
        <is>
          <t>Organic / Direct</t>
        </is>
      </c>
      <c r="F509" s="20" t="inlineStr">
        <is>
          <t>Enterprise</t>
        </is>
      </c>
      <c r="G509" s="20" t="inlineStr">
        <is>
          <t>No</t>
        </is>
      </c>
      <c r="H509" s="16" t="n"/>
      <c r="I509" s="20" t="inlineStr">
        <is>
          <t>No</t>
        </is>
      </c>
      <c r="J509" s="16" t="n"/>
      <c r="K509" s="19" t="n">
        <v/>
      </c>
      <c r="L509" s="17">
        <f>IF(G509="Yes", H509-B509, "")</f>
        <v/>
      </c>
      <c r="M509" s="17">
        <f>IF(I509="Yes", J509-H509, "")</f>
        <v/>
      </c>
      <c r="N509" s="17">
        <f>IF(I509="Yes", J509-B509, "")</f>
        <v/>
      </c>
    </row>
    <row r="510">
      <c r="A510" s="25" t="inlineStr">
        <is>
          <t>LD-1351</t>
        </is>
      </c>
      <c r="B510" s="21" t="n">
        <v>46095</v>
      </c>
      <c r="C510" s="31" t="inlineStr">
        <is>
          <t>Bold Solutions</t>
        </is>
      </c>
      <c r="D510" s="31" t="inlineStr">
        <is>
          <t>info@boldsolutions.com</t>
        </is>
      </c>
      <c r="E510" s="25" t="inlineStr">
        <is>
          <t>LinkedIn</t>
        </is>
      </c>
      <c r="F510" s="25" t="inlineStr">
        <is>
          <t>Mid-Market</t>
        </is>
      </c>
      <c r="G510" s="25" t="inlineStr">
        <is>
          <t>No</t>
        </is>
      </c>
      <c r="H510" s="21" t="n"/>
      <c r="I510" s="25" t="inlineStr">
        <is>
          <t>No</t>
        </is>
      </c>
      <c r="J510" s="21" t="n"/>
      <c r="K510" s="24" t="n">
        <v/>
      </c>
      <c r="L510" s="22">
        <f>IF(G510="Yes", H510-B510, "")</f>
        <v/>
      </c>
      <c r="M510" s="22">
        <f>IF(I510="Yes", J510-H510, "")</f>
        <v/>
      </c>
      <c r="N510" s="22">
        <f>IF(I510="Yes", J510-B510, "")</f>
        <v/>
      </c>
    </row>
    <row r="511"/>
    <row r="512">
      <c r="A512" s="25" t="inlineStr">
        <is>
          <t>LD-1542</t>
        </is>
      </c>
      <c r="B512" s="21" t="n">
        <v>46085</v>
      </c>
      <c r="C512" s="31" t="inlineStr">
        <is>
          <t>Shift LLC</t>
        </is>
      </c>
      <c r="D512" s="31" t="inlineStr">
        <is>
          <t>info@shiftllc.com</t>
        </is>
      </c>
      <c r="E512" s="25" t="inlineStr">
        <is>
          <t>Referral</t>
        </is>
      </c>
      <c r="F512" s="25" t="inlineStr">
        <is>
          <t>Mid-Market</t>
        </is>
      </c>
      <c r="G512" s="25" t="inlineStr">
        <is>
          <t>Yes</t>
        </is>
      </c>
      <c r="H512" s="21" t="n">
        <v>46089</v>
      </c>
      <c r="I512" s="25" t="inlineStr">
        <is>
          <t>No</t>
        </is>
      </c>
      <c r="J512" s="21" t="n"/>
      <c r="K512" s="24" t="n">
        <v/>
      </c>
      <c r="L512" s="22">
        <f>IF(G512="Yes", H512-B512, "")</f>
        <v/>
      </c>
      <c r="M512" s="22">
        <f>IF(I512="Yes", J512-H512, "")</f>
        <v/>
      </c>
      <c r="N512" s="22">
        <f>IF(I512="Yes", J512-B512, "")</f>
        <v/>
      </c>
    </row>
    <row r="513">
      <c r="A513" s="20" t="inlineStr">
        <is>
          <t>LD-1526</t>
        </is>
      </c>
      <c r="B513" s="16" t="n">
        <v>46108</v>
      </c>
      <c r="C513" s="32" t="inlineStr">
        <is>
          <t>Alpha LLC</t>
        </is>
      </c>
      <c r="D513" s="32" t="inlineStr">
        <is>
          <t>info@alphallc.com</t>
        </is>
      </c>
      <c r="E513" s="20" t="inlineStr">
        <is>
          <t>Google</t>
        </is>
      </c>
      <c r="F513" s="20" t="inlineStr">
        <is>
          <t>Mid-Market</t>
        </is>
      </c>
      <c r="G513" s="20" t="inlineStr">
        <is>
          <t>No</t>
        </is>
      </c>
      <c r="H513" s="16" t="n"/>
      <c r="I513" s="20" t="inlineStr">
        <is>
          <t>No</t>
        </is>
      </c>
      <c r="J513" s="16" t="n"/>
      <c r="K513" s="19" t="n">
        <v/>
      </c>
      <c r="L513" s="17">
        <f>IF(G513="Yes", H513-B513, "")</f>
        <v/>
      </c>
      <c r="M513" s="17">
        <f>IF(I513="Yes", J513-H513, "")</f>
        <v/>
      </c>
      <c r="N513" s="17">
        <f>IF(I513="Yes", J513-B513, "")</f>
        <v/>
      </c>
    </row>
    <row r="514">
      <c r="A514" s="25" t="inlineStr">
        <is>
          <t>LD-1422</t>
        </is>
      </c>
      <c r="B514" s="21" t="n">
        <v>46147</v>
      </c>
      <c r="C514" s="31" t="inlineStr">
        <is>
          <t>Synergy Group</t>
        </is>
      </c>
      <c r="D514" s="31" t="inlineStr">
        <is>
          <t>info@synergygroup.com</t>
        </is>
      </c>
      <c r="E514" s="25" t="inlineStr">
        <is>
          <t>Webinar</t>
        </is>
      </c>
      <c r="F514" s="25" t="inlineStr">
        <is>
          <t>SMB</t>
        </is>
      </c>
      <c r="G514" s="25" t="inlineStr">
        <is>
          <t>No</t>
        </is>
      </c>
      <c r="H514" s="21" t="n"/>
      <c r="I514" s="25" t="inlineStr">
        <is>
          <t>No</t>
        </is>
      </c>
      <c r="J514" s="21" t="n"/>
      <c r="K514" s="24" t="n">
        <v/>
      </c>
      <c r="L514" s="22">
        <f>IF(G514="Yes", H514-B514, "")</f>
        <v/>
      </c>
      <c r="M514" s="22">
        <f>IF(I514="Yes", J514-H514, "")</f>
        <v/>
      </c>
      <c r="N514" s="22">
        <f>IF(I514="Yes", J514-B514, "")</f>
        <v/>
      </c>
    </row>
    <row r="515">
      <c r="A515" s="20" t="inlineStr">
        <is>
          <t>LD-1539</t>
        </is>
      </c>
      <c r="B515" s="16" t="n">
        <v>46156</v>
      </c>
      <c r="C515" s="32" t="inlineStr">
        <is>
          <t>Sovereign Group</t>
        </is>
      </c>
      <c r="D515" s="32" t="inlineStr">
        <is>
          <t>info@sovereigngroup.com</t>
        </is>
      </c>
      <c r="E515" s="20" t="inlineStr">
        <is>
          <t>Cold Outreach</t>
        </is>
      </c>
      <c r="F515" s="20" t="inlineStr">
        <is>
          <t>Enterprise</t>
        </is>
      </c>
      <c r="G515" s="20" t="inlineStr">
        <is>
          <t>Yes</t>
        </is>
      </c>
      <c r="H515" s="16" t="n">
        <v>46160</v>
      </c>
      <c r="I515" s="20" t="inlineStr">
        <is>
          <t>No</t>
        </is>
      </c>
      <c r="J515" s="16" t="n"/>
      <c r="K515" s="19" t="n">
        <v/>
      </c>
      <c r="L515" s="17">
        <f>IF(G515="Yes", H515-B515, "")</f>
        <v/>
      </c>
      <c r="M515" s="17">
        <f>IF(I515="Yes", J515-H515, "")</f>
        <v/>
      </c>
      <c r="N515" s="17">
        <f>IF(I515="Yes", J515-B515, "")</f>
        <v/>
      </c>
    </row>
    <row r="516">
      <c r="A516" s="25" t="inlineStr">
        <is>
          <t>LD-1070</t>
        </is>
      </c>
      <c r="B516" s="21" t="n">
        <v>46142</v>
      </c>
      <c r="C516" s="31" t="inlineStr">
        <is>
          <t>Core Group</t>
        </is>
      </c>
      <c r="D516" s="31" t="inlineStr">
        <is>
          <t>info@coregroup.com</t>
        </is>
      </c>
      <c r="E516" s="25" t="inlineStr">
        <is>
          <t>Referral</t>
        </is>
      </c>
      <c r="F516" s="25" t="inlineStr">
        <is>
          <t>SMB</t>
        </is>
      </c>
      <c r="G516" s="25" t="inlineStr">
        <is>
          <t>No</t>
        </is>
      </c>
      <c r="H516" s="21" t="n"/>
      <c r="I516" s="25" t="inlineStr">
        <is>
          <t>No</t>
        </is>
      </c>
      <c r="J516" s="21" t="n"/>
      <c r="K516" s="24" t="n">
        <v/>
      </c>
      <c r="L516" s="22">
        <f>IF(G516="Yes", H516-B516, "")</f>
        <v/>
      </c>
      <c r="M516" s="22">
        <f>IF(I516="Yes", J516-H516, "")</f>
        <v/>
      </c>
      <c r="N516" s="22">
        <f>IF(I516="Yes", J516-B516, "")</f>
        <v/>
      </c>
    </row>
    <row r="517">
      <c r="A517" s="20" t="inlineStr">
        <is>
          <t>LD-1009</t>
        </is>
      </c>
      <c r="B517" s="16" t="n">
        <v>46133</v>
      </c>
      <c r="C517" s="32" t="inlineStr">
        <is>
          <t>Quantum Co</t>
        </is>
      </c>
      <c r="D517" s="32" t="inlineStr">
        <is>
          <t>info@quantumco.com</t>
        </is>
      </c>
      <c r="E517" s="20" t="inlineStr">
        <is>
          <t>Webinar</t>
        </is>
      </c>
      <c r="F517" s="20" t="inlineStr">
        <is>
          <t>Mid-Market</t>
        </is>
      </c>
      <c r="G517" s="20" t="inlineStr">
        <is>
          <t>Yes</t>
        </is>
      </c>
      <c r="H517" s="16" t="n">
        <v>46136</v>
      </c>
      <c r="I517" s="20" t="inlineStr">
        <is>
          <t>Yes</t>
        </is>
      </c>
      <c r="J517" s="16" t="n">
        <v>46149</v>
      </c>
      <c r="K517" s="19" t="n">
        <v>1264</v>
      </c>
      <c r="L517" s="17">
        <f>IF(G517="Yes", H517-B517, "")</f>
        <v/>
      </c>
      <c r="M517" s="17">
        <f>IF(I517="Yes", J517-H517, "")</f>
        <v/>
      </c>
      <c r="N517" s="17">
        <f>IF(I517="Yes", J517-B517, "")</f>
        <v/>
      </c>
    </row>
    <row r="518">
      <c r="A518" s="25" t="inlineStr">
        <is>
          <t>LD-1011</t>
        </is>
      </c>
      <c r="B518" s="21" t="n">
        <v>46101</v>
      </c>
      <c r="C518" s="31" t="inlineStr">
        <is>
          <t>Helix Corp</t>
        </is>
      </c>
      <c r="D518" s="31" t="inlineStr">
        <is>
          <t>info@helixcorp.com</t>
        </is>
      </c>
      <c r="E518" s="25" t="inlineStr">
        <is>
          <t>Referral</t>
        </is>
      </c>
      <c r="F518" s="25" t="inlineStr">
        <is>
          <t>Enterprise</t>
        </is>
      </c>
      <c r="G518" s="25" t="inlineStr">
        <is>
          <t>Yes</t>
        </is>
      </c>
      <c r="H518" s="21" t="n">
        <v>46110</v>
      </c>
      <c r="I518" s="25" t="inlineStr">
        <is>
          <t>No</t>
        </is>
      </c>
      <c r="J518" s="21" t="n"/>
      <c r="K518" s="24" t="n">
        <v/>
      </c>
      <c r="L518" s="22">
        <f>IF(G518="Yes", H518-B518, "")</f>
        <v/>
      </c>
      <c r="M518" s="22">
        <f>IF(I518="Yes", J518-H518, "")</f>
        <v/>
      </c>
      <c r="N518" s="22">
        <f>IF(I518="Yes", J518-B518, "")</f>
        <v/>
      </c>
    </row>
    <row r="519">
      <c r="A519" s="20" t="inlineStr">
        <is>
          <t>LD-1321</t>
        </is>
      </c>
      <c r="B519" s="16" t="n">
        <v>46161</v>
      </c>
      <c r="C519" s="32" t="inlineStr">
        <is>
          <t>Alpha Group</t>
        </is>
      </c>
      <c r="D519" s="32" t="inlineStr">
        <is>
          <t>info@alphagroup.com</t>
        </is>
      </c>
      <c r="E519" s="20" t="inlineStr">
        <is>
          <t>LinkedIn</t>
        </is>
      </c>
      <c r="F519" s="20" t="inlineStr">
        <is>
          <t>SMB</t>
        </is>
      </c>
      <c r="G519" s="20" t="inlineStr">
        <is>
          <t>Yes</t>
        </is>
      </c>
      <c r="H519" s="16" t="n">
        <v>46168</v>
      </c>
      <c r="I519" s="20" t="inlineStr">
        <is>
          <t>Yes</t>
        </is>
      </c>
      <c r="J519" s="16" t="n">
        <v>46186</v>
      </c>
      <c r="K519" s="19" t="n">
        <v>151</v>
      </c>
      <c r="L519" s="17">
        <f>IF(G519="Yes", H519-B519, "")</f>
        <v/>
      </c>
      <c r="M519" s="17">
        <f>IF(I519="Yes", J519-H519, "")</f>
        <v/>
      </c>
      <c r="N519" s="17">
        <f>IF(I519="Yes", J519-B519, "")</f>
        <v/>
      </c>
    </row>
    <row r="520">
      <c r="A520" s="25" t="inlineStr">
        <is>
          <t>LD-1185</t>
        </is>
      </c>
      <c r="B520" s="21" t="n">
        <v>46146</v>
      </c>
      <c r="C520" s="31" t="inlineStr">
        <is>
          <t>Zenith Inc</t>
        </is>
      </c>
      <c r="D520" s="31" t="inlineStr">
        <is>
          <t>info@zenithinc.com</t>
        </is>
      </c>
      <c r="E520" s="25" t="inlineStr">
        <is>
          <t>Cold Outreach</t>
        </is>
      </c>
      <c r="F520" s="25" t="inlineStr">
        <is>
          <t>Mid-Market</t>
        </is>
      </c>
      <c r="G520" s="25" t="inlineStr">
        <is>
          <t>No</t>
        </is>
      </c>
      <c r="H520" s="21" t="n"/>
      <c r="I520" s="25" t="inlineStr">
        <is>
          <t>No</t>
        </is>
      </c>
      <c r="J520" s="21" t="n"/>
      <c r="K520" s="24" t="n">
        <v/>
      </c>
      <c r="L520" s="22">
        <f>IF(G520="Yes", H520-B520, "")</f>
        <v/>
      </c>
      <c r="M520" s="22">
        <f>IF(I520="Yes", J520-H520, "")</f>
        <v/>
      </c>
      <c r="N520" s="22">
        <f>IF(I520="Yes", J520-B520, "")</f>
        <v/>
      </c>
    </row>
    <row r="521">
      <c r="A521" s="20" t="inlineStr">
        <is>
          <t>LD-1346</t>
        </is>
      </c>
      <c r="B521" s="16" t="n">
        <v>46148</v>
      </c>
      <c r="C521" s="32" t="inlineStr">
        <is>
          <t>Core LLC</t>
        </is>
      </c>
      <c r="D521" s="32" t="inlineStr">
        <is>
          <t>info@corellc.com</t>
        </is>
      </c>
      <c r="E521" s="20" t="inlineStr">
        <is>
          <t>LinkedIn</t>
        </is>
      </c>
      <c r="F521" s="20" t="inlineStr">
        <is>
          <t>Mid-Market</t>
        </is>
      </c>
      <c r="G521" s="20" t="inlineStr">
        <is>
          <t>Yes</t>
        </is>
      </c>
      <c r="H521" s="16" t="n">
        <v>46152</v>
      </c>
      <c r="I521" s="20" t="inlineStr">
        <is>
          <t>Yes</t>
        </is>
      </c>
      <c r="J521" s="16" t="n">
        <v>46169</v>
      </c>
      <c r="K521" s="19" t="n">
        <v>519</v>
      </c>
      <c r="L521" s="17">
        <f>IF(G521="Yes", H521-B521, "")</f>
        <v/>
      </c>
      <c r="M521" s="17">
        <f>IF(I521="Yes", J521-H521, "")</f>
        <v/>
      </c>
      <c r="N521" s="17">
        <f>IF(I521="Yes", J521-B521, "")</f>
        <v/>
      </c>
    </row>
    <row r="522">
      <c r="A522" s="25" t="inlineStr">
        <is>
          <t>LD-1200</t>
        </is>
      </c>
      <c r="B522" s="21" t="n">
        <v>46163</v>
      </c>
      <c r="C522" s="31" t="inlineStr">
        <is>
          <t>Bold Solutions</t>
        </is>
      </c>
      <c r="D522" s="31" t="inlineStr">
        <is>
          <t>info@boldsolutions.com</t>
        </is>
      </c>
      <c r="E522" s="25" t="inlineStr">
        <is>
          <t>Google</t>
        </is>
      </c>
      <c r="F522" s="25" t="inlineStr">
        <is>
          <t>Mid-Market</t>
        </is>
      </c>
      <c r="G522" s="25" t="inlineStr">
        <is>
          <t>No</t>
        </is>
      </c>
      <c r="H522" s="21" t="n"/>
      <c r="I522" s="25" t="inlineStr">
        <is>
          <t>No</t>
        </is>
      </c>
      <c r="J522" s="21" t="n"/>
      <c r="K522" s="24" t="n">
        <v/>
      </c>
      <c r="L522" s="22">
        <f>IF(G522="Yes", H522-B522, "")</f>
        <v/>
      </c>
      <c r="M522" s="22">
        <f>IF(I522="Yes", J522-H522, "")</f>
        <v/>
      </c>
      <c r="N522" s="22">
        <f>IF(I522="Yes", J522-B522, "")</f>
        <v/>
      </c>
    </row>
    <row r="523">
      <c r="A523" s="20" t="inlineStr">
        <is>
          <t>LD-1248</t>
        </is>
      </c>
      <c r="B523" s="16" t="n">
        <v>46103</v>
      </c>
      <c r="C523" s="32" t="inlineStr">
        <is>
          <t>Summit Global</t>
        </is>
      </c>
      <c r="D523" s="32" t="inlineStr">
        <is>
          <t>info@summitglobal.com</t>
        </is>
      </c>
      <c r="E523" s="20" t="inlineStr">
        <is>
          <t>Referral</t>
        </is>
      </c>
      <c r="F523" s="20" t="inlineStr">
        <is>
          <t>SMB</t>
        </is>
      </c>
      <c r="G523" s="20" t="inlineStr">
        <is>
          <t>No</t>
        </is>
      </c>
      <c r="H523" s="16" t="n"/>
      <c r="I523" s="20" t="inlineStr">
        <is>
          <t>No</t>
        </is>
      </c>
      <c r="J523" s="16" t="n"/>
      <c r="K523" s="19" t="n">
        <v/>
      </c>
      <c r="L523" s="17">
        <f>IF(G523="Yes", H523-B523, "")</f>
        <v/>
      </c>
      <c r="M523" s="17">
        <f>IF(I523="Yes", J523-H523, "")</f>
        <v/>
      </c>
      <c r="N523" s="17">
        <f>IF(I523="Yes", J523-B523, "")</f>
        <v/>
      </c>
    </row>
    <row r="524">
      <c r="A524" s="25" t="inlineStr">
        <is>
          <t>LD-1473</t>
        </is>
      </c>
      <c r="B524" s="21" t="n">
        <v>46114</v>
      </c>
      <c r="C524" s="31" t="inlineStr">
        <is>
          <t>Alpha Partners</t>
        </is>
      </c>
      <c r="D524" s="31" t="inlineStr">
        <is>
          <t>info@alphapartners.com</t>
        </is>
      </c>
      <c r="E524" s="25" t="inlineStr">
        <is>
          <t>Google</t>
        </is>
      </c>
      <c r="F524" s="25" t="inlineStr">
        <is>
          <t>Mid-Market</t>
        </is>
      </c>
      <c r="G524" s="25" t="inlineStr">
        <is>
          <t>Yes</t>
        </is>
      </c>
      <c r="H524" s="21" t="n">
        <v>46123</v>
      </c>
      <c r="I524" s="25" t="inlineStr">
        <is>
          <t>Yes</t>
        </is>
      </c>
      <c r="J524" s="21" t="n">
        <v>46137</v>
      </c>
      <c r="K524" s="24" t="n">
        <v>506</v>
      </c>
      <c r="L524" s="22">
        <f>IF(G524="Yes", H524-B524, "")</f>
        <v/>
      </c>
      <c r="M524" s="22">
        <f>IF(I524="Yes", J524-H524, "")</f>
        <v/>
      </c>
      <c r="N524" s="22">
        <f>IF(I524="Yes", J524-B524, "")</f>
        <v/>
      </c>
    </row>
    <row r="525">
      <c r="A525" s="20" t="inlineStr">
        <is>
          <t>LD-1401</t>
        </is>
      </c>
      <c r="B525" s="16" t="n">
        <v>46160</v>
      </c>
      <c r="C525" s="32" t="inlineStr">
        <is>
          <t>Cloud Group</t>
        </is>
      </c>
      <c r="D525" s="32" t="inlineStr">
        <is>
          <t>info@cloudgroup.com</t>
        </is>
      </c>
      <c r="E525" s="20" t="inlineStr">
        <is>
          <t>Cold Outreach</t>
        </is>
      </c>
      <c r="F525" s="20" t="inlineStr">
        <is>
          <t>Enterprise</t>
        </is>
      </c>
      <c r="G525" s="20" t="inlineStr">
        <is>
          <t>No</t>
        </is>
      </c>
      <c r="H525" s="16" t="n"/>
      <c r="I525" s="20" t="inlineStr">
        <is>
          <t>No</t>
        </is>
      </c>
      <c r="J525" s="16" t="n"/>
      <c r="K525" s="19" t="n">
        <v/>
      </c>
      <c r="L525" s="17">
        <f>IF(G525="Yes", H525-B525, "")</f>
        <v/>
      </c>
      <c r="M525" s="17">
        <f>IF(I525="Yes", J525-H525, "")</f>
        <v/>
      </c>
      <c r="N525" s="17">
        <f>IF(I525="Yes", J525-B525, "")</f>
        <v/>
      </c>
    </row>
    <row r="526">
      <c r="A526" s="25" t="inlineStr">
        <is>
          <t>LD-1262</t>
        </is>
      </c>
      <c r="B526" s="21" t="n">
        <v>46163</v>
      </c>
      <c r="C526" s="31" t="inlineStr">
        <is>
          <t>Nova LLC</t>
        </is>
      </c>
      <c r="D526" s="31" t="inlineStr">
        <is>
          <t>info@novallc.com</t>
        </is>
      </c>
      <c r="E526" s="25" t="inlineStr">
        <is>
          <t>LinkedIn</t>
        </is>
      </c>
      <c r="F526" s="25" t="inlineStr">
        <is>
          <t>Mid-Market</t>
        </is>
      </c>
      <c r="G526" s="25" t="inlineStr">
        <is>
          <t>No</t>
        </is>
      </c>
      <c r="H526" s="21" t="n"/>
      <c r="I526" s="25" t="inlineStr">
        <is>
          <t>No</t>
        </is>
      </c>
      <c r="J526" s="21" t="n"/>
      <c r="K526" s="24" t="n">
        <v/>
      </c>
      <c r="L526" s="22">
        <f>IF(G526="Yes", H526-B526, "")</f>
        <v/>
      </c>
      <c r="M526" s="22">
        <f>IF(I526="Yes", J526-H526, "")</f>
        <v/>
      </c>
      <c r="N526" s="22">
        <f>IF(I526="Yes", J526-B526, "")</f>
        <v/>
      </c>
    </row>
    <row r="527">
      <c r="A527" s="20" t="inlineStr">
        <is>
          <t>LD-1101</t>
        </is>
      </c>
      <c r="B527" s="16" t="n">
        <v>46132</v>
      </c>
      <c r="C527" s="32" t="inlineStr">
        <is>
          <t>Nova LLC</t>
        </is>
      </c>
      <c r="D527" s="32" t="inlineStr">
        <is>
          <t>info@novallc.com</t>
        </is>
      </c>
      <c r="E527" s="20" t="inlineStr">
        <is>
          <t>Referral</t>
        </is>
      </c>
      <c r="F527" s="20" t="inlineStr">
        <is>
          <t>Mid-Market</t>
        </is>
      </c>
      <c r="G527" s="20" t="inlineStr">
        <is>
          <t>No</t>
        </is>
      </c>
      <c r="H527" s="16" t="n"/>
      <c r="I527" s="20" t="inlineStr">
        <is>
          <t>No</t>
        </is>
      </c>
      <c r="J527" s="16" t="n"/>
      <c r="K527" s="19" t="n">
        <v/>
      </c>
      <c r="L527" s="17">
        <f>IF(G527="Yes", H527-B527, "")</f>
        <v/>
      </c>
      <c r="M527" s="17">
        <f>IF(I527="Yes", J527-H527, "")</f>
        <v/>
      </c>
      <c r="N527" s="17">
        <f>IF(I527="Yes", J527-B527, "")</f>
        <v/>
      </c>
    </row>
    <row r="528">
      <c r="A528" s="25" t="inlineStr">
        <is>
          <t>LD-1274</t>
        </is>
      </c>
      <c r="B528" s="21" t="n">
        <v>46112</v>
      </c>
      <c r="C528" s="31" t="inlineStr">
        <is>
          <t>Vortex Solutions</t>
        </is>
      </c>
      <c r="D528" s="31" t="inlineStr">
        <is>
          <t>info@vortexsolutions.com</t>
        </is>
      </c>
      <c r="E528" s="25" t="inlineStr">
        <is>
          <t>Cold Outreach</t>
        </is>
      </c>
      <c r="F528" s="25" t="inlineStr">
        <is>
          <t>SMB</t>
        </is>
      </c>
      <c r="G528" s="25" t="inlineStr">
        <is>
          <t>No</t>
        </is>
      </c>
      <c r="H528" s="21" t="n"/>
      <c r="I528" s="25" t="inlineStr">
        <is>
          <t>No</t>
        </is>
      </c>
      <c r="J528" s="21" t="n"/>
      <c r="K528" s="24" t="n">
        <v/>
      </c>
      <c r="L528" s="22">
        <f>IF(G528="Yes", H528-B528, "")</f>
        <v/>
      </c>
      <c r="M528" s="22">
        <f>IF(I528="Yes", J528-H528, "")</f>
        <v/>
      </c>
      <c r="N528" s="22">
        <f>IF(I528="Yes", J528-B528, "")</f>
        <v/>
      </c>
    </row>
    <row r="529">
      <c r="A529" s="20" t="inlineStr">
        <is>
          <t>LD-1277</t>
        </is>
      </c>
      <c r="B529" s="16" t="n">
        <v>46136</v>
      </c>
      <c r="C529" s="32" t="inlineStr">
        <is>
          <t>Nova Global</t>
        </is>
      </c>
      <c r="D529" s="32" t="inlineStr">
        <is>
          <t>info@novaglobal.com</t>
        </is>
      </c>
      <c r="E529" s="20" t="inlineStr">
        <is>
          <t>Google</t>
        </is>
      </c>
      <c r="F529" s="20" t="inlineStr">
        <is>
          <t>Mid-Market</t>
        </is>
      </c>
      <c r="G529" s="20" t="inlineStr">
        <is>
          <t>Yes</t>
        </is>
      </c>
      <c r="H529" s="16" t="n">
        <v>46140</v>
      </c>
      <c r="I529" s="20" t="inlineStr">
        <is>
          <t>No</t>
        </is>
      </c>
      <c r="J529" s="16" t="n"/>
      <c r="K529" s="19" t="n">
        <v/>
      </c>
      <c r="L529" s="17">
        <f>IF(G529="Yes", H529-B529, "")</f>
        <v/>
      </c>
      <c r="M529" s="17">
        <f>IF(I529="Yes", J529-H529, "")</f>
        <v/>
      </c>
      <c r="N529" s="17">
        <f>IF(I529="Yes", J529-B529, "")</f>
        <v/>
      </c>
    </row>
    <row r="530">
      <c r="A530" s="25" t="inlineStr">
        <is>
          <t>LD-1344</t>
        </is>
      </c>
      <c r="B530" s="21" t="n">
        <v>46131</v>
      </c>
      <c r="C530" s="31" t="inlineStr">
        <is>
          <t>Pulse Solutions</t>
        </is>
      </c>
      <c r="D530" s="31" t="inlineStr">
        <is>
          <t>info@pulsesolutions.com</t>
        </is>
      </c>
      <c r="E530" s="25" t="inlineStr">
        <is>
          <t>LinkedIn</t>
        </is>
      </c>
      <c r="F530" s="25" t="inlineStr">
        <is>
          <t>Enterprise</t>
        </is>
      </c>
      <c r="G530" s="25" t="inlineStr">
        <is>
          <t>Yes</t>
        </is>
      </c>
      <c r="H530" s="21" t="n">
        <v>46132</v>
      </c>
      <c r="I530" s="25" t="inlineStr">
        <is>
          <t>No</t>
        </is>
      </c>
      <c r="J530" s="21" t="n"/>
      <c r="K530" s="24" t="n">
        <v/>
      </c>
      <c r="L530" s="22">
        <f>IF(G530="Yes", H530-B530, "")</f>
        <v/>
      </c>
      <c r="M530" s="22">
        <f>IF(I530="Yes", J530-H530, "")</f>
        <v/>
      </c>
      <c r="N530" s="22">
        <f>IF(I530="Yes", J530-B530, "")</f>
        <v/>
      </c>
    </row>
    <row r="531">
      <c r="A531" s="20" t="inlineStr">
        <is>
          <t>LD-1280</t>
        </is>
      </c>
      <c r="B531" s="16" t="n">
        <v>46148</v>
      </c>
      <c r="C531" s="32" t="inlineStr">
        <is>
          <t>Beacon Group</t>
        </is>
      </c>
      <c r="D531" s="32" t="inlineStr">
        <is>
          <t>info@beacongroup.com</t>
        </is>
      </c>
      <c r="E531" s="20" t="inlineStr">
        <is>
          <t>LinkedIn</t>
        </is>
      </c>
      <c r="F531" s="20" t="inlineStr">
        <is>
          <t>Enterprise</t>
        </is>
      </c>
      <c r="G531" s="20" t="inlineStr">
        <is>
          <t>No</t>
        </is>
      </c>
      <c r="H531" s="16" t="n"/>
      <c r="I531" s="20" t="inlineStr">
        <is>
          <t>No</t>
        </is>
      </c>
      <c r="J531" s="16" t="n"/>
      <c r="K531" s="19" t="n">
        <v/>
      </c>
      <c r="L531" s="17">
        <f>IF(G531="Yes", H531-B531, "")</f>
        <v/>
      </c>
      <c r="M531" s="17">
        <f>IF(I531="Yes", J531-H531, "")</f>
        <v/>
      </c>
      <c r="N531" s="17">
        <f>IF(I531="Yes", J531-B531, "")</f>
        <v/>
      </c>
    </row>
    <row r="532">
      <c r="A532" s="25" t="inlineStr">
        <is>
          <t>LD-1443</t>
        </is>
      </c>
      <c r="B532" s="21" t="n">
        <v>46105</v>
      </c>
      <c r="C532" s="31" t="inlineStr">
        <is>
          <t>Synergy Technologies</t>
        </is>
      </c>
      <c r="D532" s="31" t="inlineStr">
        <is>
          <t>info@synergytechnologies.com</t>
        </is>
      </c>
      <c r="E532" s="25" t="inlineStr">
        <is>
          <t>Google</t>
        </is>
      </c>
      <c r="F532" s="25" t="inlineStr">
        <is>
          <t>SMB</t>
        </is>
      </c>
      <c r="G532" s="25" t="inlineStr">
        <is>
          <t>Yes</t>
        </is>
      </c>
      <c r="H532" s="21" t="n">
        <v>46107</v>
      </c>
      <c r="I532" s="25" t="inlineStr">
        <is>
          <t>No</t>
        </is>
      </c>
      <c r="J532" s="21" t="n"/>
      <c r="K532" s="24" t="n">
        <v/>
      </c>
      <c r="L532" s="22">
        <f>IF(G532="Yes", H532-B532, "")</f>
        <v/>
      </c>
      <c r="M532" s="22">
        <f>IF(I532="Yes", J532-H532, "")</f>
        <v/>
      </c>
      <c r="N532" s="22">
        <f>IF(I532="Yes", J532-B532, "")</f>
        <v/>
      </c>
    </row>
    <row r="533">
      <c r="A533" s="20" t="inlineStr">
        <is>
          <t>LD-1363</t>
        </is>
      </c>
      <c r="B533" s="16" t="n">
        <v>46139</v>
      </c>
      <c r="C533" s="32" t="inlineStr">
        <is>
          <t>Zenith Partners</t>
        </is>
      </c>
      <c r="D533" s="32" t="inlineStr">
        <is>
          <t>info@zenithpartners.com</t>
        </is>
      </c>
      <c r="E533" s="20" t="inlineStr">
        <is>
          <t>Organic / Direct</t>
        </is>
      </c>
      <c r="F533" s="20" t="inlineStr">
        <is>
          <t>Enterprise</t>
        </is>
      </c>
      <c r="G533" s="20" t="inlineStr">
        <is>
          <t>Yes</t>
        </is>
      </c>
      <c r="H533" s="16" t="n">
        <v>46146</v>
      </c>
      <c r="I533" s="20" t="inlineStr">
        <is>
          <t>No</t>
        </is>
      </c>
      <c r="J533" s="16" t="n"/>
      <c r="K533" s="19" t="n">
        <v/>
      </c>
      <c r="L533" s="17">
        <f>IF(G533="Yes", H533-B533, "")</f>
        <v/>
      </c>
      <c r="M533" s="17">
        <f>IF(I533="Yes", J533-H533, "")</f>
        <v/>
      </c>
      <c r="N533" s="17">
        <f>IF(I533="Yes", J533-B533, "")</f>
        <v/>
      </c>
    </row>
    <row r="534">
      <c r="A534" s="25" t="inlineStr">
        <is>
          <t>LD-1100</t>
        </is>
      </c>
      <c r="B534" s="21" t="n">
        <v>46125</v>
      </c>
      <c r="C534" s="31" t="inlineStr">
        <is>
          <t>Alpha Corp</t>
        </is>
      </c>
      <c r="D534" s="31" t="inlineStr">
        <is>
          <t>info@alphacorp.com</t>
        </is>
      </c>
      <c r="E534" s="25" t="inlineStr">
        <is>
          <t>Webinar</t>
        </is>
      </c>
      <c r="F534" s="25" t="inlineStr">
        <is>
          <t>Enterprise</t>
        </is>
      </c>
      <c r="G534" s="25" t="inlineStr">
        <is>
          <t>No</t>
        </is>
      </c>
      <c r="H534" s="21" t="n"/>
      <c r="I534" s="25" t="inlineStr">
        <is>
          <t>No</t>
        </is>
      </c>
      <c r="J534" s="21" t="n"/>
      <c r="K534" s="24" t="n">
        <v/>
      </c>
      <c r="L534" s="22">
        <f>IF(G534="Yes", H534-B534, "")</f>
        <v/>
      </c>
      <c r="M534" s="22">
        <f>IF(I534="Yes", J534-H534, "")</f>
        <v/>
      </c>
      <c r="N534" s="22">
        <f>IF(I534="Yes", J534-B534, "")</f>
        <v/>
      </c>
    </row>
    <row r="535">
      <c r="A535" s="20" t="inlineStr">
        <is>
          <t>LD-1043</t>
        </is>
      </c>
      <c r="B535" s="16" t="n">
        <v>46123</v>
      </c>
      <c r="C535" s="32" t="inlineStr">
        <is>
          <t>Alpha Solutions</t>
        </is>
      </c>
      <c r="D535" s="32" t="inlineStr">
        <is>
          <t>info@alphasolutions.com</t>
        </is>
      </c>
      <c r="E535" s="20" t="inlineStr">
        <is>
          <t>Organic / Direct</t>
        </is>
      </c>
      <c r="F535" s="20" t="inlineStr">
        <is>
          <t>Enterprise</t>
        </is>
      </c>
      <c r="G535" s="20" t="inlineStr">
        <is>
          <t>Yes</t>
        </is>
      </c>
      <c r="H535" s="16" t="n">
        <v>46125</v>
      </c>
      <c r="I535" s="20" t="inlineStr">
        <is>
          <t>Yes</t>
        </is>
      </c>
      <c r="J535" s="16" t="n">
        <v>46140</v>
      </c>
      <c r="K535" s="19" t="n">
        <v>3765</v>
      </c>
      <c r="L535" s="17">
        <f>IF(G535="Yes", H535-B535, "")</f>
        <v/>
      </c>
      <c r="M535" s="17">
        <f>IF(I535="Yes", J535-H535, "")</f>
        <v/>
      </c>
      <c r="N535" s="17">
        <f>IF(I535="Yes", J535-B535, "")</f>
        <v/>
      </c>
    </row>
    <row r="536">
      <c r="A536" s="25" t="inlineStr">
        <is>
          <t>LD-1324</t>
        </is>
      </c>
      <c r="B536" s="21" t="n">
        <v>46126</v>
      </c>
      <c r="C536" s="31" t="inlineStr">
        <is>
          <t>Zenith Partners</t>
        </is>
      </c>
      <c r="D536" s="31" t="inlineStr">
        <is>
          <t>info@zenithpartners.com</t>
        </is>
      </c>
      <c r="E536" s="25" t="inlineStr">
        <is>
          <t>Google</t>
        </is>
      </c>
      <c r="F536" s="25" t="inlineStr">
        <is>
          <t>Enterprise</t>
        </is>
      </c>
      <c r="G536" s="25" t="inlineStr">
        <is>
          <t>Yes</t>
        </is>
      </c>
      <c r="H536" s="21" t="n">
        <v>46133</v>
      </c>
      <c r="I536" s="25" t="inlineStr">
        <is>
          <t>No</t>
        </is>
      </c>
      <c r="J536" s="21" t="n"/>
      <c r="K536" s="24" t="n">
        <v/>
      </c>
      <c r="L536" s="22">
        <f>IF(G536="Yes", H536-B536, "")</f>
        <v/>
      </c>
      <c r="M536" s="22">
        <f>IF(I536="Yes", J536-H536, "")</f>
        <v/>
      </c>
      <c r="N536" s="22">
        <f>IF(I536="Yes", J536-B536, "")</f>
        <v/>
      </c>
    </row>
    <row r="537">
      <c r="A537" s="20" t="inlineStr">
        <is>
          <t>LD-1392</t>
        </is>
      </c>
      <c r="B537" s="16" t="n">
        <v>46153</v>
      </c>
      <c r="C537" s="32" t="inlineStr">
        <is>
          <t>Apex Inc</t>
        </is>
      </c>
      <c r="D537" s="32" t="inlineStr">
        <is>
          <t>info@apexinc.com</t>
        </is>
      </c>
      <c r="E537" s="20" t="inlineStr">
        <is>
          <t>Cold Outreach</t>
        </is>
      </c>
      <c r="F537" s="20" t="inlineStr">
        <is>
          <t>SMB</t>
        </is>
      </c>
      <c r="G537" s="20" t="inlineStr">
        <is>
          <t>Yes</t>
        </is>
      </c>
      <c r="H537" s="16" t="n">
        <v>46159</v>
      </c>
      <c r="I537" s="20" t="inlineStr">
        <is>
          <t>Yes</t>
        </is>
      </c>
      <c r="J537" s="16" t="n">
        <v>46168</v>
      </c>
      <c r="K537" s="19" t="n">
        <v>141</v>
      </c>
      <c r="L537" s="17">
        <f>IF(G537="Yes", H537-B537, "")</f>
        <v/>
      </c>
      <c r="M537" s="17">
        <f>IF(I537="Yes", J537-H537, "")</f>
        <v/>
      </c>
      <c r="N537" s="17">
        <f>IF(I537="Yes", J537-B537, "")</f>
        <v/>
      </c>
    </row>
    <row r="538">
      <c r="A538" s="25" t="inlineStr">
        <is>
          <t>LD-1460</t>
        </is>
      </c>
      <c r="B538" s="21" t="n">
        <v>46161</v>
      </c>
      <c r="C538" s="31" t="inlineStr">
        <is>
          <t>Apex Inc</t>
        </is>
      </c>
      <c r="D538" s="31" t="inlineStr">
        <is>
          <t>info@apexinc.com</t>
        </is>
      </c>
      <c r="E538" s="25" t="inlineStr">
        <is>
          <t>Cold Outreach</t>
        </is>
      </c>
      <c r="F538" s="25" t="inlineStr">
        <is>
          <t>SMB</t>
        </is>
      </c>
      <c r="G538" s="25" t="inlineStr">
        <is>
          <t>Yes</t>
        </is>
      </c>
      <c r="H538" s="21" t="n">
        <v>46165</v>
      </c>
      <c r="I538" s="25" t="inlineStr">
        <is>
          <t>No</t>
        </is>
      </c>
      <c r="J538" s="21" t="n"/>
      <c r="K538" s="24" t="n">
        <v/>
      </c>
      <c r="L538" s="22">
        <f>IF(G538="Yes", H538-B538, "")</f>
        <v/>
      </c>
      <c r="M538" s="22">
        <f>IF(I538="Yes", J538-H538, "")</f>
        <v/>
      </c>
      <c r="N538" s="22">
        <f>IF(I538="Yes", J538-B538, "")</f>
        <v/>
      </c>
    </row>
    <row r="539">
      <c r="A539" s="20" t="inlineStr">
        <is>
          <t>LD-1296</t>
        </is>
      </c>
      <c r="B539" s="16" t="n">
        <v>46110</v>
      </c>
      <c r="C539" s="32" t="inlineStr">
        <is>
          <t>Omega Co</t>
        </is>
      </c>
      <c r="D539" s="32" t="inlineStr">
        <is>
          <t>info@omegaco.com</t>
        </is>
      </c>
      <c r="E539" s="20" t="inlineStr">
        <is>
          <t>Google</t>
        </is>
      </c>
      <c r="F539" s="20" t="inlineStr">
        <is>
          <t>Enterprise</t>
        </is>
      </c>
      <c r="G539" s="20" t="inlineStr">
        <is>
          <t>Yes</t>
        </is>
      </c>
      <c r="H539" s="16" t="n">
        <v>46112</v>
      </c>
      <c r="I539" s="20" t="inlineStr">
        <is>
          <t>Yes</t>
        </is>
      </c>
      <c r="J539" s="16" t="n">
        <v>46119</v>
      </c>
      <c r="K539" s="19" t="n">
        <v>4619</v>
      </c>
      <c r="L539" s="17">
        <f>IF(G539="Yes", H539-B539, "")</f>
        <v/>
      </c>
      <c r="M539" s="17">
        <f>IF(I539="Yes", J539-H539, "")</f>
        <v/>
      </c>
      <c r="N539" s="17">
        <f>IF(I539="Yes", J539-B539, "")</f>
        <v/>
      </c>
    </row>
    <row r="540">
      <c r="A540" s="25" t="inlineStr">
        <is>
          <t>LD-1013</t>
        </is>
      </c>
      <c r="B540" s="21" t="n">
        <v>46115</v>
      </c>
      <c r="C540" s="31" t="inlineStr">
        <is>
          <t>Vortex Technologies</t>
        </is>
      </c>
      <c r="D540" s="31" t="inlineStr">
        <is>
          <t>info@vortextechnologies.com</t>
        </is>
      </c>
      <c r="E540" s="25" t="inlineStr">
        <is>
          <t>LinkedIn</t>
        </is>
      </c>
      <c r="F540" s="25" t="inlineStr">
        <is>
          <t>SMB</t>
        </is>
      </c>
      <c r="G540" s="25" t="inlineStr">
        <is>
          <t>Yes</t>
        </is>
      </c>
      <c r="H540" s="21" t="n">
        <v>46118</v>
      </c>
      <c r="I540" s="25" t="inlineStr">
        <is>
          <t>No</t>
        </is>
      </c>
      <c r="J540" s="21" t="n"/>
      <c r="K540" s="24" t="n">
        <v/>
      </c>
      <c r="L540" s="22">
        <f>IF(G540="Yes", H540-B540, "")</f>
        <v/>
      </c>
      <c r="M540" s="22">
        <f>IF(I540="Yes", J540-H540, "")</f>
        <v/>
      </c>
      <c r="N540" s="22">
        <f>IF(I540="Yes", J540-B540, "")</f>
        <v/>
      </c>
    </row>
    <row r="541">
      <c r="A541" s="20" t="inlineStr">
        <is>
          <t>LD-1446</t>
        </is>
      </c>
      <c r="B541" s="16" t="n">
        <v>46123</v>
      </c>
      <c r="C541" s="32" t="inlineStr">
        <is>
          <t>Pulse Technologies</t>
        </is>
      </c>
      <c r="D541" s="32" t="inlineStr">
        <is>
          <t>info@pulsetechnologies.com</t>
        </is>
      </c>
      <c r="E541" s="20" t="inlineStr">
        <is>
          <t>Organic / Direct</t>
        </is>
      </c>
      <c r="F541" s="20" t="inlineStr">
        <is>
          <t>Enterprise</t>
        </is>
      </c>
      <c r="G541" s="20" t="inlineStr">
        <is>
          <t>Yes</t>
        </is>
      </c>
      <c r="H541" s="16" t="n">
        <v>46133</v>
      </c>
      <c r="I541" s="20" t="inlineStr">
        <is>
          <t>No</t>
        </is>
      </c>
      <c r="J541" s="16" t="n"/>
      <c r="K541" s="19" t="n">
        <v/>
      </c>
      <c r="L541" s="17">
        <f>IF(G541="Yes", H541-B541, "")</f>
        <v/>
      </c>
      <c r="M541" s="17">
        <f>IF(I541="Yes", J541-H541, "")</f>
        <v/>
      </c>
      <c r="N541" s="17">
        <f>IF(I541="Yes", J541-B541, "")</f>
        <v/>
      </c>
    </row>
    <row r="542">
      <c r="A542" s="25" t="inlineStr">
        <is>
          <t>LD-1149</t>
        </is>
      </c>
      <c r="B542" s="21" t="n">
        <v>46084</v>
      </c>
      <c r="C542" s="31" t="inlineStr">
        <is>
          <t>Shift Solutions</t>
        </is>
      </c>
      <c r="D542" s="31" t="inlineStr">
        <is>
          <t>info@shiftsolutions.com</t>
        </is>
      </c>
      <c r="E542" s="25" t="inlineStr">
        <is>
          <t>Google</t>
        </is>
      </c>
      <c r="F542" s="25" t="inlineStr">
        <is>
          <t>Enterprise</t>
        </is>
      </c>
      <c r="G542" s="25" t="inlineStr">
        <is>
          <t>Yes</t>
        </is>
      </c>
      <c r="H542" s="21" t="n">
        <v>46094</v>
      </c>
      <c r="I542" s="25" t="inlineStr">
        <is>
          <t>No</t>
        </is>
      </c>
      <c r="J542" s="21" t="n"/>
      <c r="K542" s="24" t="n">
        <v/>
      </c>
      <c r="L542" s="22">
        <f>IF(G542="Yes", H542-B542, "")</f>
        <v/>
      </c>
      <c r="M542" s="22">
        <f>IF(I542="Yes", J542-H542, "")</f>
        <v/>
      </c>
      <c r="N542" s="22">
        <f>IF(I542="Yes", J542-B542, "")</f>
        <v/>
      </c>
    </row>
    <row r="543">
      <c r="A543" s="20" t="inlineStr">
        <is>
          <t>LD-1269</t>
        </is>
      </c>
      <c r="B543" s="16" t="n">
        <v>46122</v>
      </c>
      <c r="C543" s="32" t="inlineStr">
        <is>
          <t>Stellar Group</t>
        </is>
      </c>
      <c r="D543" s="32" t="inlineStr">
        <is>
          <t>info@stellargroup.com</t>
        </is>
      </c>
      <c r="E543" s="20" t="inlineStr">
        <is>
          <t>Google</t>
        </is>
      </c>
      <c r="F543" s="20" t="inlineStr">
        <is>
          <t>Enterprise</t>
        </is>
      </c>
      <c r="G543" s="20" t="inlineStr">
        <is>
          <t>No</t>
        </is>
      </c>
      <c r="H543" s="16" t="n"/>
      <c r="I543" s="20" t="inlineStr">
        <is>
          <t>No</t>
        </is>
      </c>
      <c r="J543" s="16" t="n"/>
      <c r="K543" s="19" t="n">
        <v/>
      </c>
      <c r="L543" s="17">
        <f>IF(G543="Yes", H543-B543, "")</f>
        <v/>
      </c>
      <c r="M543" s="17">
        <f>IF(I543="Yes", J543-H543, "")</f>
        <v/>
      </c>
      <c r="N543" s="17">
        <f>IF(I543="Yes", J543-B543, "")</f>
        <v/>
      </c>
    </row>
    <row r="544">
      <c r="A544" s="25" t="inlineStr">
        <is>
          <t>LD-1486</t>
        </is>
      </c>
      <c r="B544" s="21" t="n">
        <v>46115</v>
      </c>
      <c r="C544" s="31" t="inlineStr">
        <is>
          <t>Bold Group</t>
        </is>
      </c>
      <c r="D544" s="31" t="inlineStr">
        <is>
          <t>info@boldgroup.com</t>
        </is>
      </c>
      <c r="E544" s="25" t="inlineStr">
        <is>
          <t>Referral</t>
        </is>
      </c>
      <c r="F544" s="25" t="inlineStr">
        <is>
          <t>Enterprise</t>
        </is>
      </c>
      <c r="G544" s="25" t="inlineStr">
        <is>
          <t>No</t>
        </is>
      </c>
      <c r="H544" s="21" t="n"/>
      <c r="I544" s="25" t="inlineStr">
        <is>
          <t>No</t>
        </is>
      </c>
      <c r="J544" s="21" t="n"/>
      <c r="K544" s="24" t="n">
        <v/>
      </c>
      <c r="L544" s="22">
        <f>IF(G544="Yes", H544-B544, "")</f>
        <v/>
      </c>
      <c r="M544" s="22">
        <f>IF(I544="Yes", J544-H544, "")</f>
        <v/>
      </c>
      <c r="N544" s="22">
        <f>IF(I544="Yes", J544-B544, "")</f>
        <v/>
      </c>
    </row>
    <row r="545">
      <c r="A545" s="20" t="inlineStr">
        <is>
          <t>LD-1400</t>
        </is>
      </c>
      <c r="B545" s="16" t="n">
        <v>46101</v>
      </c>
      <c r="C545" s="32" t="inlineStr">
        <is>
          <t>Synergy Technologies</t>
        </is>
      </c>
      <c r="D545" s="32" t="inlineStr">
        <is>
          <t>info@synergytechnologies.com</t>
        </is>
      </c>
      <c r="E545" s="20" t="inlineStr">
        <is>
          <t>Google</t>
        </is>
      </c>
      <c r="F545" s="20" t="inlineStr">
        <is>
          <t>Mid-Market</t>
        </is>
      </c>
      <c r="G545" s="20" t="inlineStr">
        <is>
          <t>Yes</t>
        </is>
      </c>
      <c r="H545" s="16" t="n">
        <v>46102</v>
      </c>
      <c r="I545" s="20" t="inlineStr">
        <is>
          <t>No</t>
        </is>
      </c>
      <c r="J545" s="16" t="n"/>
      <c r="K545" s="19" t="n">
        <v/>
      </c>
      <c r="L545" s="17">
        <f>IF(G545="Yes", H545-B545, "")</f>
        <v/>
      </c>
      <c r="M545" s="17">
        <f>IF(I545="Yes", J545-H545, "")</f>
        <v/>
      </c>
      <c r="N545" s="17">
        <f>IF(I545="Yes", J545-B545, "")</f>
        <v/>
      </c>
    </row>
    <row r="546">
      <c r="A546" s="25" t="inlineStr">
        <is>
          <t>LD-1389</t>
        </is>
      </c>
      <c r="B546" s="21" t="n">
        <v>46150</v>
      </c>
      <c r="C546" s="31" t="inlineStr">
        <is>
          <t>Bold Corp</t>
        </is>
      </c>
      <c r="D546" s="31" t="inlineStr">
        <is>
          <t>info@boldcorp.com</t>
        </is>
      </c>
      <c r="E546" s="25" t="inlineStr">
        <is>
          <t>Organic / Direct</t>
        </is>
      </c>
      <c r="F546" s="25" t="inlineStr">
        <is>
          <t>SMB</t>
        </is>
      </c>
      <c r="G546" s="25" t="inlineStr">
        <is>
          <t>Yes</t>
        </is>
      </c>
      <c r="H546" s="21" t="n">
        <v>46159</v>
      </c>
      <c r="I546" s="25" t="inlineStr">
        <is>
          <t>Yes</t>
        </is>
      </c>
      <c r="J546" s="21" t="n">
        <v>46173</v>
      </c>
      <c r="K546" s="24" t="n">
        <v>255</v>
      </c>
      <c r="L546" s="22">
        <f>IF(G546="Yes", H546-B546, "")</f>
        <v/>
      </c>
      <c r="M546" s="22">
        <f>IF(I546="Yes", J546-H546, "")</f>
        <v/>
      </c>
      <c r="N546" s="22">
        <f>IF(I546="Yes", J546-B546, "")</f>
        <v/>
      </c>
    </row>
    <row r="547">
      <c r="A547" s="20" t="inlineStr">
        <is>
          <t>LD-1240</t>
        </is>
      </c>
      <c r="B547" s="16" t="n">
        <v>46123</v>
      </c>
      <c r="C547" s="32" t="inlineStr">
        <is>
          <t>Omega Co</t>
        </is>
      </c>
      <c r="D547" s="32" t="inlineStr">
        <is>
          <t>info@omegaco.com</t>
        </is>
      </c>
      <c r="E547" s="20" t="inlineStr">
        <is>
          <t>Cold Outreach</t>
        </is>
      </c>
      <c r="F547" s="20" t="inlineStr">
        <is>
          <t>Enterprise</t>
        </is>
      </c>
      <c r="G547" s="20" t="inlineStr">
        <is>
          <t>Yes</t>
        </is>
      </c>
      <c r="H547" s="16" t="n">
        <v>46132</v>
      </c>
      <c r="I547" s="20" t="inlineStr">
        <is>
          <t>Yes</t>
        </is>
      </c>
      <c r="J547" s="16" t="n">
        <v>46151</v>
      </c>
      <c r="K547" s="19" t="n">
        <v>4717</v>
      </c>
      <c r="L547" s="17">
        <f>IF(G547="Yes", H547-B547, "")</f>
        <v/>
      </c>
      <c r="M547" s="17">
        <f>IF(I547="Yes", J547-H547, "")</f>
        <v/>
      </c>
      <c r="N547" s="17">
        <f>IF(I547="Yes", J547-B547, "")</f>
        <v/>
      </c>
    </row>
    <row r="548">
      <c r="A548" s="25" t="inlineStr">
        <is>
          <t>LD-1546</t>
        </is>
      </c>
      <c r="B548" s="21" t="n">
        <v>46116</v>
      </c>
      <c r="C548" s="31" t="inlineStr">
        <is>
          <t>Pulse Co</t>
        </is>
      </c>
      <c r="D548" s="31" t="inlineStr">
        <is>
          <t>info@pulseco.com</t>
        </is>
      </c>
      <c r="E548" s="25" t="inlineStr">
        <is>
          <t>Referral</t>
        </is>
      </c>
      <c r="F548" s="25" t="inlineStr">
        <is>
          <t>Enterprise</t>
        </is>
      </c>
      <c r="G548" s="25" t="inlineStr">
        <is>
          <t>Yes</t>
        </is>
      </c>
      <c r="H548" s="21" t="n">
        <v>46126</v>
      </c>
      <c r="I548" s="25" t="inlineStr">
        <is>
          <t>No</t>
        </is>
      </c>
      <c r="J548" s="21" t="n"/>
      <c r="K548" s="24" t="n">
        <v/>
      </c>
      <c r="L548" s="22">
        <f>IF(G548="Yes", H548-B548, "")</f>
        <v/>
      </c>
      <c r="M548" s="22">
        <f>IF(I548="Yes", J548-H548, "")</f>
        <v/>
      </c>
      <c r="N548" s="22">
        <f>IF(I548="Yes", J548-B548, "")</f>
        <v/>
      </c>
    </row>
    <row r="549">
      <c r="A549" s="20" t="inlineStr">
        <is>
          <t>LD-1550</t>
        </is>
      </c>
      <c r="B549" s="16" t="n">
        <v>46103</v>
      </c>
      <c r="C549" s="32" t="inlineStr">
        <is>
          <t>Stellar Inc</t>
        </is>
      </c>
      <c r="D549" s="32" t="inlineStr">
        <is>
          <t>info@stellarinc.com</t>
        </is>
      </c>
      <c r="E549" s="20" t="inlineStr">
        <is>
          <t>Cold Outreach</t>
        </is>
      </c>
      <c r="F549" s="20" t="inlineStr">
        <is>
          <t>SMB</t>
        </is>
      </c>
      <c r="G549" s="20" t="inlineStr">
        <is>
          <t>No</t>
        </is>
      </c>
      <c r="H549" s="16" t="n"/>
      <c r="I549" s="20" t="inlineStr">
        <is>
          <t>No</t>
        </is>
      </c>
      <c r="J549" s="16" t="n"/>
      <c r="K549" s="19" t="n">
        <v/>
      </c>
      <c r="L549" s="17">
        <f>IF(G549="Yes", H549-B549, "")</f>
        <v/>
      </c>
      <c r="M549" s="17">
        <f>IF(I549="Yes", J549-H549, "")</f>
        <v/>
      </c>
      <c r="N549" s="17">
        <f>IF(I549="Yes", J549-B549, "")</f>
        <v/>
      </c>
    </row>
    <row r="550">
      <c r="A550" s="25" t="inlineStr">
        <is>
          <t>LD-1309</t>
        </is>
      </c>
      <c r="B550" s="21" t="n">
        <v>46124</v>
      </c>
      <c r="C550" s="31" t="inlineStr">
        <is>
          <t>Synergy Co</t>
        </is>
      </c>
      <c r="D550" s="31" t="inlineStr">
        <is>
          <t>info@synergyco.com</t>
        </is>
      </c>
      <c r="E550" s="25" t="inlineStr">
        <is>
          <t>Google</t>
        </is>
      </c>
      <c r="F550" s="25" t="inlineStr">
        <is>
          <t>Enterprise</t>
        </is>
      </c>
      <c r="G550" s="25" t="inlineStr">
        <is>
          <t>No</t>
        </is>
      </c>
      <c r="H550" s="21" t="n"/>
      <c r="I550" s="25" t="inlineStr">
        <is>
          <t>No</t>
        </is>
      </c>
      <c r="J550" s="21" t="n"/>
      <c r="K550" s="24" t="n">
        <v/>
      </c>
      <c r="L550" s="22">
        <f>IF(G550="Yes", H550-B550, "")</f>
        <v/>
      </c>
      <c r="M550" s="22">
        <f>IF(I550="Yes", J550-H550, "")</f>
        <v/>
      </c>
      <c r="N550" s="22">
        <f>IF(I550="Yes", J550-B550, "")</f>
        <v/>
      </c>
    </row>
    <row r="551">
      <c r="A551" s="20" t="inlineStr">
        <is>
          <t>LD-1488</t>
        </is>
      </c>
      <c r="B551" s="16" t="n">
        <v>46166</v>
      </c>
      <c r="C551" s="32" t="inlineStr">
        <is>
          <t>Vortex Inc</t>
        </is>
      </c>
      <c r="D551" s="32" t="inlineStr">
        <is>
          <t>info@vortexinc.com</t>
        </is>
      </c>
      <c r="E551" s="20" t="inlineStr">
        <is>
          <t>Referral</t>
        </is>
      </c>
      <c r="F551" s="20" t="inlineStr">
        <is>
          <t>SMB</t>
        </is>
      </c>
      <c r="G551" s="20" t="inlineStr">
        <is>
          <t>No</t>
        </is>
      </c>
      <c r="H551" s="16" t="n"/>
      <c r="I551" s="20" t="inlineStr">
        <is>
          <t>No</t>
        </is>
      </c>
      <c r="J551" s="16" t="n"/>
      <c r="K551" s="19" t="n">
        <v/>
      </c>
      <c r="L551" s="17">
        <f>IF(G551="Yes", H551-B551, "")</f>
        <v/>
      </c>
      <c r="M551" s="17">
        <f>IF(I551="Yes", J551-H551, "")</f>
        <v/>
      </c>
      <c r="N551" s="17">
        <f>IF(I551="Yes", J551-B551, "")</f>
        <v/>
      </c>
    </row>
    <row r="552">
      <c r="A552" s="25" t="inlineStr">
        <is>
          <t>LD-1409</t>
        </is>
      </c>
      <c r="B552" s="21" t="n">
        <v>46133</v>
      </c>
      <c r="C552" s="31" t="inlineStr">
        <is>
          <t>Shift Inc</t>
        </is>
      </c>
      <c r="D552" s="31" t="inlineStr">
        <is>
          <t>info@shiftinc.com</t>
        </is>
      </c>
      <c r="E552" s="25" t="inlineStr">
        <is>
          <t>LinkedIn</t>
        </is>
      </c>
      <c r="F552" s="25" t="inlineStr">
        <is>
          <t>SMB</t>
        </is>
      </c>
      <c r="G552" s="25" t="inlineStr">
        <is>
          <t>Yes</t>
        </is>
      </c>
      <c r="H552" s="21" t="n">
        <v>46143</v>
      </c>
      <c r="I552" s="25" t="inlineStr">
        <is>
          <t>No</t>
        </is>
      </c>
      <c r="J552" s="21" t="n"/>
      <c r="K552" s="24" t="n">
        <v/>
      </c>
      <c r="L552" s="22">
        <f>IF(G552="Yes", H552-B552, "")</f>
        <v/>
      </c>
      <c r="M552" s="22">
        <f>IF(I552="Yes", J552-H552, "")</f>
        <v/>
      </c>
      <c r="N552" s="22">
        <f>IF(I552="Yes", J552-B552, "")</f>
        <v/>
      </c>
    </row>
    <row r="553">
      <c r="A553" s="20" t="inlineStr">
        <is>
          <t>LD-1476</t>
        </is>
      </c>
      <c r="B553" s="16" t="n">
        <v>46123</v>
      </c>
      <c r="C553" s="32" t="inlineStr">
        <is>
          <t>Summit Partners</t>
        </is>
      </c>
      <c r="D553" s="32" t="inlineStr">
        <is>
          <t>info@summitpartners.com</t>
        </is>
      </c>
      <c r="E553" s="20" t="inlineStr">
        <is>
          <t>Cold Outreach</t>
        </is>
      </c>
      <c r="F553" s="20" t="inlineStr">
        <is>
          <t>SMB</t>
        </is>
      </c>
      <c r="G553" s="20" t="inlineStr">
        <is>
          <t>Yes</t>
        </is>
      </c>
      <c r="H553" s="16" t="n">
        <v>46128</v>
      </c>
      <c r="I553" s="20" t="inlineStr">
        <is>
          <t>Yes</t>
        </is>
      </c>
      <c r="J553" s="16" t="n">
        <v>46145</v>
      </c>
      <c r="K553" s="19" t="n">
        <v>120</v>
      </c>
      <c r="L553" s="17">
        <f>IF(G553="Yes", H553-B553, "")</f>
        <v/>
      </c>
      <c r="M553" s="17">
        <f>IF(I553="Yes", J553-H553, "")</f>
        <v/>
      </c>
      <c r="N553" s="17">
        <f>IF(I553="Yes", J553-B553, "")</f>
        <v/>
      </c>
    </row>
    <row r="554"/>
    <row r="555">
      <c r="A555" s="20" t="inlineStr">
        <is>
          <t>LD-1054</t>
        </is>
      </c>
      <c r="B555" s="16" t="n">
        <v>46141</v>
      </c>
      <c r="C555" s="32" t="inlineStr">
        <is>
          <t>Acme LLC</t>
        </is>
      </c>
      <c r="D555" s="32" t="inlineStr">
        <is>
          <t>info@acmellc.com</t>
        </is>
      </c>
      <c r="E555" s="20" t="inlineStr">
        <is>
          <t>Google</t>
        </is>
      </c>
      <c r="F555" s="20" t="inlineStr">
        <is>
          <t>Enterprise</t>
        </is>
      </c>
      <c r="G555" s="20" t="inlineStr">
        <is>
          <t>Yes</t>
        </is>
      </c>
      <c r="H555" s="16" t="n">
        <v>46149</v>
      </c>
      <c r="I555" s="20" t="inlineStr">
        <is>
          <t>Yes</t>
        </is>
      </c>
      <c r="J555" s="16" t="n">
        <v>46164</v>
      </c>
      <c r="K555" s="19" t="n">
        <v>5677</v>
      </c>
      <c r="L555" s="17">
        <f>IF(G555="Yes", H555-B555, "")</f>
        <v/>
      </c>
      <c r="M555" s="17">
        <f>IF(I555="Yes", J555-H555, "")</f>
        <v/>
      </c>
      <c r="N555" s="17">
        <f>IF(I555="Yes", J555-B555, "")</f>
        <v/>
      </c>
    </row>
    <row r="556">
      <c r="A556" s="25" t="inlineStr">
        <is>
          <t>LD-1119</t>
        </is>
      </c>
      <c r="B556" s="21" t="n">
        <v>46110</v>
      </c>
      <c r="C556" s="31" t="inlineStr">
        <is>
          <t>Flux Global</t>
        </is>
      </c>
      <c r="D556" s="31" t="inlineStr">
        <is>
          <t>info@fluxglobal.com</t>
        </is>
      </c>
      <c r="E556" s="25" t="inlineStr">
        <is>
          <t>Cold Outreach</t>
        </is>
      </c>
      <c r="F556" s="25" t="inlineStr">
        <is>
          <t>SMB</t>
        </is>
      </c>
      <c r="G556" s="25" t="inlineStr">
        <is>
          <t>No</t>
        </is>
      </c>
      <c r="H556" s="21" t="n"/>
      <c r="I556" s="25" t="inlineStr">
        <is>
          <t>No</t>
        </is>
      </c>
      <c r="J556" s="21" t="n"/>
      <c r="K556" s="24" t="n">
        <v/>
      </c>
      <c r="L556" s="22">
        <f>IF(G556="Yes", H556-B556, "")</f>
        <v/>
      </c>
      <c r="M556" s="22">
        <f>IF(I556="Yes", J556-H556, "")</f>
        <v/>
      </c>
      <c r="N556" s="22">
        <f>IF(I556="Yes", J556-B556, "")</f>
        <v/>
      </c>
    </row>
    <row r="557">
      <c r="A557" s="20" t="inlineStr">
        <is>
          <t>LD-1271</t>
        </is>
      </c>
      <c r="B557" s="16" t="n">
        <v>46160</v>
      </c>
      <c r="C557" s="32" t="inlineStr">
        <is>
          <t>Quantum Corp</t>
        </is>
      </c>
      <c r="D557" s="32" t="inlineStr">
        <is>
          <t>info@quantumcorp.com</t>
        </is>
      </c>
      <c r="E557" s="20" t="inlineStr">
        <is>
          <t>Google</t>
        </is>
      </c>
      <c r="F557" s="20" t="inlineStr">
        <is>
          <t>Enterprise</t>
        </is>
      </c>
      <c r="G557" s="20" t="inlineStr">
        <is>
          <t>No</t>
        </is>
      </c>
      <c r="H557" s="16" t="n"/>
      <c r="I557" s="20" t="inlineStr">
        <is>
          <t>No</t>
        </is>
      </c>
      <c r="J557" s="16" t="n"/>
      <c r="K557" s="19" t="n">
        <v/>
      </c>
      <c r="L557" s="17">
        <f>IF(G557="Yes", H557-B557, "")</f>
        <v/>
      </c>
      <c r="M557" s="17">
        <f>IF(I557="Yes", J557-H557, "")</f>
        <v/>
      </c>
      <c r="N557" s="17">
        <f>IF(I557="Yes", J557-B557, "")</f>
        <v/>
      </c>
    </row>
    <row r="558">
      <c r="A558" s="25" t="inlineStr">
        <is>
          <t>LD-1056</t>
        </is>
      </c>
      <c r="B558" s="21" t="n">
        <v>46165</v>
      </c>
      <c r="C558" s="31" t="inlineStr">
        <is>
          <t>Apex Inc</t>
        </is>
      </c>
      <c r="D558" s="31" t="inlineStr">
        <is>
          <t>info@apexinc.com</t>
        </is>
      </c>
      <c r="E558" s="25" t="inlineStr">
        <is>
          <t>Google</t>
        </is>
      </c>
      <c r="F558" s="25" t="inlineStr">
        <is>
          <t>Enterprise</t>
        </is>
      </c>
      <c r="G558" s="25" t="inlineStr">
        <is>
          <t>Yes</t>
        </is>
      </c>
      <c r="H558" s="21" t="n">
        <v>46168</v>
      </c>
      <c r="I558" s="25" t="inlineStr">
        <is>
          <t>No</t>
        </is>
      </c>
      <c r="J558" s="21" t="n"/>
      <c r="K558" s="24" t="n">
        <v/>
      </c>
      <c r="L558" s="22">
        <f>IF(G558="Yes", H558-B558, "")</f>
        <v/>
      </c>
      <c r="M558" s="22">
        <f>IF(I558="Yes", J558-H558, "")</f>
        <v/>
      </c>
      <c r="N558" s="22">
        <f>IF(I558="Yes", J558-B558, "")</f>
        <v/>
      </c>
    </row>
    <row r="559">
      <c r="A559" s="20" t="inlineStr">
        <is>
          <t>LD-1354</t>
        </is>
      </c>
      <c r="B559" s="16" t="n">
        <v>46114</v>
      </c>
      <c r="C559" s="32" t="inlineStr">
        <is>
          <t>Alpha Technologies</t>
        </is>
      </c>
      <c r="D559" s="32" t="inlineStr">
        <is>
          <t>info@alphatechnologies.com</t>
        </is>
      </c>
      <c r="E559" s="20" t="inlineStr">
        <is>
          <t>Google</t>
        </is>
      </c>
      <c r="F559" s="20" t="inlineStr">
        <is>
          <t>SMB</t>
        </is>
      </c>
      <c r="G559" s="20" t="inlineStr">
        <is>
          <t>No</t>
        </is>
      </c>
      <c r="H559" s="16" t="n"/>
      <c r="I559" s="20" t="inlineStr">
        <is>
          <t>No</t>
        </is>
      </c>
      <c r="J559" s="16" t="n"/>
      <c r="K559" s="19" t="n">
        <v/>
      </c>
      <c r="L559" s="17">
        <f>IF(G559="Yes", H559-B559, "")</f>
        <v/>
      </c>
      <c r="M559" s="17">
        <f>IF(I559="Yes", J559-H559, "")</f>
        <v/>
      </c>
      <c r="N559" s="17">
        <f>IF(I559="Yes", J559-B559, "")</f>
        <v/>
      </c>
    </row>
    <row r="560">
      <c r="A560" s="25" t="inlineStr">
        <is>
          <t>LD-1216</t>
        </is>
      </c>
      <c r="B560" s="21" t="n">
        <v>46083</v>
      </c>
      <c r="C560" s="31" t="inlineStr">
        <is>
          <t>Quantum Corp</t>
        </is>
      </c>
      <c r="D560" s="31" t="inlineStr">
        <is>
          <t>info@quantumcorp.com</t>
        </is>
      </c>
      <c r="E560" s="25" t="inlineStr">
        <is>
          <t>LinkedIn</t>
        </is>
      </c>
      <c r="F560" s="25" t="inlineStr">
        <is>
          <t>Enterprise</t>
        </is>
      </c>
      <c r="G560" s="25" t="inlineStr">
        <is>
          <t>Yes</t>
        </is>
      </c>
      <c r="H560" s="21" t="n">
        <v>46087</v>
      </c>
      <c r="I560" s="25" t="inlineStr">
        <is>
          <t>No</t>
        </is>
      </c>
      <c r="J560" s="21" t="n"/>
      <c r="K560" s="24" t="n">
        <v/>
      </c>
      <c r="L560" s="22">
        <f>IF(G560="Yes", H560-B560, "")</f>
        <v/>
      </c>
      <c r="M560" s="22">
        <f>IF(I560="Yes", J560-H560, "")</f>
        <v/>
      </c>
      <c r="N560" s="22">
        <f>IF(I560="Yes", J560-B560, "")</f>
        <v/>
      </c>
    </row>
    <row r="561">
      <c r="A561" s="20" t="inlineStr">
        <is>
          <t>LD-1172</t>
        </is>
      </c>
      <c r="B561" s="16" t="n">
        <v>46089</v>
      </c>
      <c r="C561" s="32" t="inlineStr">
        <is>
          <t>Helix Partners</t>
        </is>
      </c>
      <c r="D561" s="32" t="inlineStr">
        <is>
          <t>info@helixpartners.com</t>
        </is>
      </c>
      <c r="E561" s="20" t="inlineStr">
        <is>
          <t>Google</t>
        </is>
      </c>
      <c r="F561" s="20" t="inlineStr">
        <is>
          <t>Mid-Market</t>
        </is>
      </c>
      <c r="G561" s="20" t="inlineStr">
        <is>
          <t>No</t>
        </is>
      </c>
      <c r="H561" s="16" t="n"/>
      <c r="I561" s="20" t="inlineStr">
        <is>
          <t>No</t>
        </is>
      </c>
      <c r="J561" s="16" t="n"/>
      <c r="K561" s="19" t="n">
        <v/>
      </c>
      <c r="L561" s="17">
        <f>IF(G561="Yes", H561-B561, "")</f>
        <v/>
      </c>
      <c r="M561" s="17">
        <f>IF(I561="Yes", J561-H561, "")</f>
        <v/>
      </c>
      <c r="N561" s="17">
        <f>IF(I561="Yes", J561-B561, "")</f>
        <v/>
      </c>
    </row>
    <row r="562">
      <c r="A562" s="25" t="inlineStr">
        <is>
          <t>LD-1451</t>
        </is>
      </c>
      <c r="B562" s="21" t="n">
        <v>46116</v>
      </c>
      <c r="C562" s="31" t="inlineStr">
        <is>
          <t>Pulse Technologies</t>
        </is>
      </c>
      <c r="D562" s="31" t="inlineStr">
        <is>
          <t>info@pulsetechnologies.com</t>
        </is>
      </c>
      <c r="E562" s="25" t="inlineStr">
        <is>
          <t>Google</t>
        </is>
      </c>
      <c r="F562" s="25" t="inlineStr">
        <is>
          <t>SMB</t>
        </is>
      </c>
      <c r="G562" s="25" t="inlineStr">
        <is>
          <t>Yes</t>
        </is>
      </c>
      <c r="H562" s="21" t="n">
        <v>46124</v>
      </c>
      <c r="I562" s="25" t="inlineStr">
        <is>
          <t>No</t>
        </is>
      </c>
      <c r="J562" s="21" t="n"/>
      <c r="K562" s="24" t="n">
        <v/>
      </c>
      <c r="L562" s="22">
        <f>IF(G562="Yes", H562-B562, "")</f>
        <v/>
      </c>
      <c r="M562" s="22">
        <f>IF(I562="Yes", J562-H562, "")</f>
        <v/>
      </c>
      <c r="N562" s="22">
        <f>IF(I562="Yes", J562-B562, "")</f>
        <v/>
      </c>
    </row>
    <row r="563">
      <c r="A563" s="20" t="inlineStr">
        <is>
          <t>LD-1244</t>
        </is>
      </c>
      <c r="B563" s="16" t="n">
        <v>46164</v>
      </c>
      <c r="C563" s="32" t="inlineStr">
        <is>
          <t>Omega Co</t>
        </is>
      </c>
      <c r="D563" s="32" t="inlineStr">
        <is>
          <t>info@omegaco.com</t>
        </is>
      </c>
      <c r="E563" s="20" t="inlineStr">
        <is>
          <t>Google</t>
        </is>
      </c>
      <c r="F563" s="20" t="inlineStr">
        <is>
          <t>SMB</t>
        </is>
      </c>
      <c r="G563" s="20" t="inlineStr">
        <is>
          <t>Yes</t>
        </is>
      </c>
      <c r="H563" s="16" t="n">
        <v>46173</v>
      </c>
      <c r="I563" s="20" t="inlineStr">
        <is>
          <t>No</t>
        </is>
      </c>
      <c r="J563" s="16" t="n"/>
      <c r="K563" s="19" t="n">
        <v/>
      </c>
      <c r="L563" s="17">
        <f>IF(G563="Yes", H563-B563, "")</f>
        <v/>
      </c>
      <c r="M563" s="17">
        <f>IF(I563="Yes", J563-H563, "")</f>
        <v/>
      </c>
      <c r="N563" s="17">
        <f>IF(I563="Yes", J563-B563, "")</f>
        <v/>
      </c>
    </row>
    <row r="564">
      <c r="A564" s="25" t="inlineStr">
        <is>
          <t>LD-1393</t>
        </is>
      </c>
      <c r="B564" s="21" t="n">
        <v>46105</v>
      </c>
      <c r="C564" s="31" t="inlineStr">
        <is>
          <t>Beacon Solutions</t>
        </is>
      </c>
      <c r="D564" s="31" t="inlineStr">
        <is>
          <t>info@beaconsolutions.com</t>
        </is>
      </c>
      <c r="E564" s="25" t="inlineStr">
        <is>
          <t>Cold Outreach</t>
        </is>
      </c>
      <c r="F564" s="25" t="inlineStr">
        <is>
          <t>SMB</t>
        </is>
      </c>
      <c r="G564" s="25" t="inlineStr">
        <is>
          <t>No</t>
        </is>
      </c>
      <c r="H564" s="21" t="n"/>
      <c r="I564" s="25" t="inlineStr">
        <is>
          <t>No</t>
        </is>
      </c>
      <c r="J564" s="21" t="n"/>
      <c r="K564" s="24" t="n">
        <v/>
      </c>
      <c r="L564" s="22">
        <f>IF(G564="Yes", H564-B564, "")</f>
        <v/>
      </c>
      <c r="M564" s="22">
        <f>IF(I564="Yes", J564-H564, "")</f>
        <v/>
      </c>
      <c r="N564" s="22">
        <f>IF(I564="Yes", J564-B564, "")</f>
        <v/>
      </c>
    </row>
    <row r="565">
      <c r="A565" s="20" t="inlineStr">
        <is>
          <t>LD-1423</t>
        </is>
      </c>
      <c r="B565" s="16" t="n">
        <v>46093</v>
      </c>
      <c r="C565" s="32" t="inlineStr">
        <is>
          <t>Omega LLC</t>
        </is>
      </c>
      <c r="D565" s="32" t="inlineStr">
        <is>
          <t>info@omegallc.com</t>
        </is>
      </c>
      <c r="E565" s="20" t="inlineStr">
        <is>
          <t>Organic / Direct</t>
        </is>
      </c>
      <c r="F565" s="20" t="inlineStr">
        <is>
          <t>Enterprise</t>
        </is>
      </c>
      <c r="G565" s="20" t="inlineStr">
        <is>
          <t>Yes</t>
        </is>
      </c>
      <c r="H565" s="16" t="n">
        <v>46095</v>
      </c>
      <c r="I565" s="20" t="inlineStr">
        <is>
          <t>No</t>
        </is>
      </c>
      <c r="J565" s="16" t="n"/>
      <c r="K565" s="19" t="n">
        <v/>
      </c>
      <c r="L565" s="17">
        <f>IF(G565="Yes", H565-B565, "")</f>
        <v/>
      </c>
      <c r="M565" s="17">
        <f>IF(I565="Yes", J565-H565, "")</f>
        <v/>
      </c>
      <c r="N565" s="17">
        <f>IF(I565="Yes", J565-B565, "")</f>
        <v/>
      </c>
    </row>
    <row r="566">
      <c r="A566" s="25" t="inlineStr">
        <is>
          <t>LD-1508</t>
        </is>
      </c>
      <c r="B566" s="21" t="n">
        <v>46082</v>
      </c>
      <c r="C566" s="31" t="inlineStr">
        <is>
          <t>Pulse Technologies</t>
        </is>
      </c>
      <c r="D566" s="31" t="inlineStr">
        <is>
          <t>info@pulsetechnologies.com</t>
        </is>
      </c>
      <c r="E566" s="25" t="inlineStr">
        <is>
          <t>LinkedIn</t>
        </is>
      </c>
      <c r="F566" s="25" t="inlineStr">
        <is>
          <t>SMB</t>
        </is>
      </c>
      <c r="G566" s="25" t="inlineStr">
        <is>
          <t>Yes</t>
        </is>
      </c>
      <c r="H566" s="21" t="n">
        <v>46083</v>
      </c>
      <c r="I566" s="25" t="inlineStr">
        <is>
          <t>No</t>
        </is>
      </c>
      <c r="J566" s="21" t="n"/>
      <c r="K566" s="24" t="n">
        <v/>
      </c>
      <c r="L566" s="22">
        <f>IF(G566="Yes", H566-B566, "")</f>
        <v/>
      </c>
      <c r="M566" s="22">
        <f>IF(I566="Yes", J566-H566, "")</f>
        <v/>
      </c>
      <c r="N566" s="22">
        <f>IF(I566="Yes", J566-B566,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2026-06-25T18:23:48Z</dcterms:created>
  <dcterms:modified xmlns:dcterms="http://purl.org/dc/terms/" xmlns:xsi="http://www.w3.org/2001/XMLSchema-instance" xsi:type="dcterms:W3CDTF">2026-06-25T18:23:49Z</dcterms:modified>
</cp:coreProperties>
</file>